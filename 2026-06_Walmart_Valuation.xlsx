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esktop\Desktop\CFI\FMVA\Core Course\Practice\Walmart\"/>
    </mc:Choice>
  </mc:AlternateContent>
  <xr:revisionPtr revIDLastSave="0" documentId="13_ncr:1_{0F6D8E2F-EBC2-4E1F-A42F-A651EB48AC4E}" xr6:coauthVersionLast="47" xr6:coauthVersionMax="47" xr10:uidLastSave="{00000000-0000-0000-0000-000000000000}"/>
  <bookViews>
    <workbookView xWindow="-118" yWindow="-118" windowWidth="25370" windowHeight="13890" xr2:uid="{0D4BA749-7C78-481F-A3B6-AB5C0B057229}"/>
  </bookViews>
  <sheets>
    <sheet name="Drivers, Inputs and Outputs" sheetId="3" r:id="rId1"/>
    <sheet name="Model" sheetId="1" r:id="rId2"/>
    <sheet name="Notes" sheetId="2"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5" i="3" l="1"/>
  <c r="G115" i="3"/>
  <c r="F115" i="3"/>
  <c r="E115" i="3"/>
  <c r="D115" i="3"/>
  <c r="H114" i="3"/>
  <c r="G114" i="3"/>
  <c r="F114" i="3"/>
  <c r="E114" i="3"/>
  <c r="D114" i="3"/>
  <c r="H113" i="3"/>
  <c r="G113" i="3"/>
  <c r="F113" i="3"/>
  <c r="E113" i="3"/>
  <c r="D113" i="3"/>
  <c r="H112" i="3"/>
  <c r="G112" i="3"/>
  <c r="F112" i="3"/>
  <c r="E112" i="3"/>
  <c r="D112" i="3"/>
  <c r="H111" i="3"/>
  <c r="G111" i="3"/>
  <c r="F111" i="3"/>
  <c r="E111" i="3"/>
  <c r="D111" i="3"/>
  <c r="C112" i="3"/>
  <c r="C113" i="3"/>
  <c r="C114" i="3"/>
  <c r="C115" i="3"/>
  <c r="C111" i="3"/>
  <c r="E110" i="3"/>
  <c r="F110" i="3"/>
  <c r="G110" i="3"/>
  <c r="H110" i="3"/>
  <c r="D110" i="3"/>
  <c r="E187" i="2"/>
  <c r="F187" i="2"/>
  <c r="G187" i="2"/>
  <c r="H187" i="2"/>
  <c r="I187" i="2"/>
  <c r="E191" i="2"/>
  <c r="F191" i="2"/>
  <c r="G191" i="2"/>
  <c r="H191" i="2"/>
  <c r="I191" i="2"/>
  <c r="E196" i="2"/>
  <c r="F196" i="2"/>
  <c r="G196" i="2"/>
  <c r="H196" i="2"/>
  <c r="I196" i="2"/>
  <c r="M709" i="1"/>
  <c r="N709" i="1"/>
  <c r="O709" i="1"/>
  <c r="P709" i="1"/>
  <c r="L709" i="1"/>
  <c r="K711" i="1"/>
  <c r="K712" i="1"/>
  <c r="K713" i="1"/>
  <c r="K714" i="1"/>
  <c r="K710" i="1"/>
  <c r="B720" i="1"/>
  <c r="B722" i="1"/>
  <c r="E704" i="1"/>
  <c r="E703" i="1"/>
  <c r="E702" i="1"/>
  <c r="G723" i="1" s="1"/>
  <c r="C722" i="1"/>
  <c r="K722" i="1" s="1"/>
  <c r="O74" i="3"/>
  <c r="E701" i="1"/>
  <c r="E719" i="1"/>
  <c r="M719" i="1" s="1"/>
  <c r="F719" i="1"/>
  <c r="N719" i="1" s="1"/>
  <c r="G719" i="1"/>
  <c r="O719" i="1" s="1"/>
  <c r="H719" i="1"/>
  <c r="P719" i="1" s="1"/>
  <c r="D719" i="1"/>
  <c r="L719" i="1" s="1"/>
  <c r="C721" i="1"/>
  <c r="K721" i="1" s="1"/>
  <c r="C723" i="1"/>
  <c r="K723" i="1" s="1"/>
  <c r="C724" i="1"/>
  <c r="K724" i="1" s="1"/>
  <c r="C720" i="1"/>
  <c r="K720" i="1" s="1"/>
  <c r="K611" i="1"/>
  <c r="D608" i="1"/>
  <c r="O713" i="1" l="1"/>
  <c r="O723" i="1" s="1"/>
  <c r="G720" i="1"/>
  <c r="O710" i="1" s="1"/>
  <c r="O720" i="1" s="1"/>
  <c r="E720" i="1"/>
  <c r="M710" i="1" s="1"/>
  <c r="M720" i="1" s="1"/>
  <c r="H720" i="1"/>
  <c r="P710" i="1" s="1"/>
  <c r="P720" i="1" s="1"/>
  <c r="E722" i="1"/>
  <c r="M712" i="1" s="1"/>
  <c r="M722" i="1" s="1"/>
  <c r="H723" i="1"/>
  <c r="P713" i="1" s="1"/>
  <c r="P723" i="1" s="1"/>
  <c r="F722" i="1"/>
  <c r="N712" i="1" s="1"/>
  <c r="N722" i="1" s="1"/>
  <c r="D724" i="1"/>
  <c r="L714" i="1" s="1"/>
  <c r="L724" i="1" s="1"/>
  <c r="D721" i="1"/>
  <c r="L711" i="1" s="1"/>
  <c r="L721" i="1" s="1"/>
  <c r="G722" i="1"/>
  <c r="O712" i="1" s="1"/>
  <c r="O722" i="1" s="1"/>
  <c r="E724" i="1"/>
  <c r="M714" i="1" s="1"/>
  <c r="M724" i="1" s="1"/>
  <c r="E721" i="1"/>
  <c r="M711" i="1" s="1"/>
  <c r="M721" i="1" s="1"/>
  <c r="H722" i="1"/>
  <c r="P712" i="1" s="1"/>
  <c r="P722" i="1" s="1"/>
  <c r="F724" i="1"/>
  <c r="N714" i="1" s="1"/>
  <c r="N724" i="1" s="1"/>
  <c r="F721" i="1"/>
  <c r="N711" i="1" s="1"/>
  <c r="N721" i="1" s="1"/>
  <c r="D723" i="1"/>
  <c r="L713" i="1" s="1"/>
  <c r="L723" i="1" s="1"/>
  <c r="G724" i="1"/>
  <c r="O714" i="1" s="1"/>
  <c r="O724" i="1" s="1"/>
  <c r="D720" i="1"/>
  <c r="L710" i="1" s="1"/>
  <c r="L720" i="1" s="1"/>
  <c r="G721" i="1"/>
  <c r="O711" i="1" s="1"/>
  <c r="O721" i="1" s="1"/>
  <c r="E723" i="1"/>
  <c r="M713" i="1" s="1"/>
  <c r="M723" i="1" s="1"/>
  <c r="H724" i="1"/>
  <c r="P714" i="1" s="1"/>
  <c r="P724" i="1" s="1"/>
  <c r="H721" i="1"/>
  <c r="P711" i="1" s="1"/>
  <c r="P721" i="1" s="1"/>
  <c r="F723" i="1"/>
  <c r="N713" i="1" s="1"/>
  <c r="N723" i="1" s="1"/>
  <c r="F720" i="1"/>
  <c r="N710" i="1" s="1"/>
  <c r="N720" i="1" s="1"/>
  <c r="D722" i="1"/>
  <c r="L712" i="1" s="1"/>
  <c r="L722" i="1" s="1"/>
  <c r="P349" i="1"/>
  <c r="P342" i="1"/>
  <c r="P343" i="1"/>
  <c r="E120" i="3"/>
  <c r="M120" i="3" s="1"/>
  <c r="E121" i="3"/>
  <c r="E122" i="3"/>
  <c r="E123" i="3"/>
  <c r="H125" i="3" l="1"/>
  <c r="P115" i="3" s="1"/>
  <c r="P125" i="3" s="1"/>
  <c r="G125" i="3"/>
  <c r="O115" i="3" s="1"/>
  <c r="O125" i="3" s="1"/>
  <c r="F125" i="3"/>
  <c r="N115" i="3" s="1"/>
  <c r="N125" i="3" s="1"/>
  <c r="E125" i="3"/>
  <c r="M115" i="3" s="1"/>
  <c r="M125" i="3" s="1"/>
  <c r="D125" i="3"/>
  <c r="L115" i="3" s="1"/>
  <c r="L125" i="3" s="1"/>
  <c r="H124" i="3"/>
  <c r="P114" i="3" s="1"/>
  <c r="P124" i="3" s="1"/>
  <c r="G124" i="3"/>
  <c r="O114" i="3" s="1"/>
  <c r="O124" i="3" s="1"/>
  <c r="F124" i="3"/>
  <c r="N114" i="3" s="1"/>
  <c r="N124" i="3" s="1"/>
  <c r="E124" i="3"/>
  <c r="M114" i="3" s="1"/>
  <c r="M124" i="3" s="1"/>
  <c r="D124" i="3"/>
  <c r="L114" i="3" s="1"/>
  <c r="L124" i="3" s="1"/>
  <c r="H123" i="3"/>
  <c r="P113" i="3" s="1"/>
  <c r="P123" i="3" s="1"/>
  <c r="G123" i="3"/>
  <c r="O113" i="3" s="1"/>
  <c r="O123" i="3" s="1"/>
  <c r="F123" i="3"/>
  <c r="N113" i="3" s="1"/>
  <c r="N123" i="3" s="1"/>
  <c r="D123" i="3"/>
  <c r="L113" i="3" s="1"/>
  <c r="L123" i="3" s="1"/>
  <c r="H122" i="3"/>
  <c r="P112" i="3" s="1"/>
  <c r="P122" i="3" s="1"/>
  <c r="G122" i="3"/>
  <c r="O112" i="3" s="1"/>
  <c r="O122" i="3" s="1"/>
  <c r="F122" i="3"/>
  <c r="N112" i="3" s="1"/>
  <c r="N122" i="3" s="1"/>
  <c r="D122" i="3"/>
  <c r="L112" i="3" s="1"/>
  <c r="L122" i="3" s="1"/>
  <c r="H121" i="3"/>
  <c r="P111" i="3" s="1"/>
  <c r="P121" i="3" s="1"/>
  <c r="G121" i="3"/>
  <c r="O111" i="3" s="1"/>
  <c r="O121" i="3" s="1"/>
  <c r="F121" i="3"/>
  <c r="N111" i="3" s="1"/>
  <c r="N121" i="3" s="1"/>
  <c r="M111" i="3"/>
  <c r="M121" i="3" s="1"/>
  <c r="D121" i="3"/>
  <c r="L111" i="3" s="1"/>
  <c r="L121" i="3" s="1"/>
  <c r="M113" i="3"/>
  <c r="M123" i="3" s="1"/>
  <c r="M112" i="3"/>
  <c r="M122" i="3" s="1"/>
  <c r="C125" i="3"/>
  <c r="K125" i="3" s="1"/>
  <c r="C124" i="3"/>
  <c r="C123" i="3"/>
  <c r="C122" i="3"/>
  <c r="C121" i="3"/>
  <c r="K121" i="3" s="1"/>
  <c r="H120" i="3"/>
  <c r="G120" i="3"/>
  <c r="F120" i="3"/>
  <c r="M110" i="3"/>
  <c r="D120" i="3"/>
  <c r="K115" i="3" l="1"/>
  <c r="K112" i="3"/>
  <c r="K122" i="3"/>
  <c r="K114" i="3"/>
  <c r="K124" i="3"/>
  <c r="K113" i="3"/>
  <c r="K123" i="3"/>
  <c r="K111" i="3"/>
  <c r="N110" i="3"/>
  <c r="N120" i="3"/>
  <c r="O110" i="3"/>
  <c r="O120" i="3"/>
  <c r="P110" i="3"/>
  <c r="P120" i="3"/>
  <c r="L110" i="3"/>
  <c r="L120" i="3"/>
  <c r="P690" i="1"/>
  <c r="K656" i="1"/>
  <c r="K657" i="1"/>
  <c r="L657" i="1" s="1"/>
  <c r="M657" i="1" s="1"/>
  <c r="N657" i="1" s="1"/>
  <c r="O657" i="1" s="1"/>
  <c r="P657" i="1" s="1"/>
  <c r="J656" i="1"/>
  <c r="J657" i="1" s="1"/>
  <c r="J679" i="1"/>
  <c r="J672" i="1"/>
  <c r="J665" i="1"/>
  <c r="G42" i="3"/>
  <c r="N59" i="3"/>
  <c r="O645" i="1"/>
  <c r="N83" i="3"/>
  <c r="O75" i="3"/>
  <c r="G75" i="3"/>
  <c r="G78" i="3" s="1"/>
  <c r="E75" i="3"/>
  <c r="O41" i="3"/>
  <c r="N60" i="3"/>
  <c r="K60" i="3"/>
  <c r="K59" i="3"/>
  <c r="M54" i="3"/>
  <c r="M55" i="3"/>
  <c r="M56" i="3"/>
  <c r="M53" i="3"/>
  <c r="L54" i="3"/>
  <c r="O54" i="3" s="1"/>
  <c r="L55" i="3"/>
  <c r="O55" i="3" s="1"/>
  <c r="L56" i="3"/>
  <c r="L53" i="3"/>
  <c r="O53" i="3" s="1"/>
  <c r="J521" i="1"/>
  <c r="J515" i="1"/>
  <c r="J120" i="1"/>
  <c r="J122" i="1" s="1"/>
  <c r="I11" i="2"/>
  <c r="J11" i="2" s="1"/>
  <c r="D225" i="1"/>
  <c r="K226" i="1" s="1"/>
  <c r="J420" i="1"/>
  <c r="K418" i="1" s="1"/>
  <c r="P412" i="1"/>
  <c r="D224" i="1"/>
  <c r="C220" i="1"/>
  <c r="G600" i="1"/>
  <c r="H600" i="1"/>
  <c r="I600" i="1"/>
  <c r="J600" i="1"/>
  <c r="F600" i="1"/>
  <c r="G597" i="1"/>
  <c r="H597" i="1"/>
  <c r="I597" i="1"/>
  <c r="J597" i="1"/>
  <c r="F597" i="1"/>
  <c r="G594" i="1"/>
  <c r="H594" i="1"/>
  <c r="I594" i="1"/>
  <c r="J594" i="1"/>
  <c r="F594" i="1"/>
  <c r="F590" i="1"/>
  <c r="F592" i="1" s="1"/>
  <c r="G590" i="1"/>
  <c r="G592" i="1" s="1"/>
  <c r="H590" i="1"/>
  <c r="H592" i="1" s="1"/>
  <c r="I590" i="1"/>
  <c r="I592" i="1" s="1"/>
  <c r="J590" i="1"/>
  <c r="J592" i="1" s="1"/>
  <c r="G586" i="1"/>
  <c r="H586" i="1"/>
  <c r="I586" i="1"/>
  <c r="J586" i="1"/>
  <c r="F586" i="1"/>
  <c r="O52" i="1"/>
  <c r="N52" i="1"/>
  <c r="M52" i="1"/>
  <c r="L52" i="1"/>
  <c r="K52" i="1"/>
  <c r="O51" i="1"/>
  <c r="N51" i="1"/>
  <c r="M51" i="1"/>
  <c r="L51" i="1"/>
  <c r="K51" i="1"/>
  <c r="F576" i="1"/>
  <c r="G576" i="1"/>
  <c r="H576" i="1"/>
  <c r="I576" i="1"/>
  <c r="J576" i="1"/>
  <c r="F577" i="1"/>
  <c r="G577" i="1"/>
  <c r="H577" i="1"/>
  <c r="I577" i="1"/>
  <c r="J577" i="1"/>
  <c r="F578" i="1"/>
  <c r="G578" i="1"/>
  <c r="H578" i="1"/>
  <c r="I578" i="1"/>
  <c r="J578" i="1"/>
  <c r="F575" i="1"/>
  <c r="G575" i="1"/>
  <c r="H575" i="1"/>
  <c r="I575" i="1"/>
  <c r="J575" i="1"/>
  <c r="J44" i="1"/>
  <c r="I44" i="1"/>
  <c r="H44" i="1"/>
  <c r="G44" i="1"/>
  <c r="J43" i="1"/>
  <c r="I43" i="1"/>
  <c r="H43" i="1"/>
  <c r="G43" i="1"/>
  <c r="G573" i="1"/>
  <c r="H573" i="1"/>
  <c r="I573" i="1"/>
  <c r="J573" i="1"/>
  <c r="F573" i="1"/>
  <c r="P387" i="1"/>
  <c r="P410" i="1" s="1"/>
  <c r="J569" i="1"/>
  <c r="H569" i="1"/>
  <c r="G101" i="1"/>
  <c r="G567" i="1" s="1"/>
  <c r="H101" i="1"/>
  <c r="H567" i="1" s="1"/>
  <c r="I101" i="1"/>
  <c r="I567" i="1" s="1"/>
  <c r="J101" i="1"/>
  <c r="F101" i="1"/>
  <c r="F567" i="1" s="1"/>
  <c r="F570" i="1"/>
  <c r="G569" i="1"/>
  <c r="G571" i="1" s="1"/>
  <c r="I569" i="1"/>
  <c r="F569" i="1"/>
  <c r="F571" i="1" s="1"/>
  <c r="G570" i="1"/>
  <c r="H570" i="1"/>
  <c r="I570" i="1"/>
  <c r="J570" i="1"/>
  <c r="O568" i="1"/>
  <c r="O462" i="1" s="1"/>
  <c r="N568" i="1"/>
  <c r="N462" i="1" s="1"/>
  <c r="M568" i="1"/>
  <c r="M462" i="1" s="1"/>
  <c r="L568" i="1"/>
  <c r="L462" i="1" s="1"/>
  <c r="K568" i="1"/>
  <c r="K462" i="1" s="1"/>
  <c r="H568" i="1"/>
  <c r="I568" i="1"/>
  <c r="J568" i="1"/>
  <c r="G564" i="1"/>
  <c r="H564" i="1"/>
  <c r="I564" i="1"/>
  <c r="J564" i="1"/>
  <c r="F564" i="1"/>
  <c r="G563" i="1"/>
  <c r="H563" i="1"/>
  <c r="I563" i="1"/>
  <c r="J563" i="1"/>
  <c r="F563" i="1"/>
  <c r="P407" i="1"/>
  <c r="P408" i="1"/>
  <c r="P409" i="1"/>
  <c r="P428" i="1"/>
  <c r="P14" i="1" s="1"/>
  <c r="G103" i="1"/>
  <c r="H103" i="1"/>
  <c r="I103" i="1"/>
  <c r="J103" i="1"/>
  <c r="J538" i="1" s="1"/>
  <c r="K534" i="1" s="1"/>
  <c r="F103" i="1"/>
  <c r="G102" i="1"/>
  <c r="H102" i="1"/>
  <c r="I102" i="1"/>
  <c r="J102" i="1"/>
  <c r="J531" i="1" s="1"/>
  <c r="K527" i="1" s="1"/>
  <c r="K529" i="1" s="1"/>
  <c r="K516" i="1" s="1"/>
  <c r="F102" i="1"/>
  <c r="J535" i="1"/>
  <c r="J537" i="1"/>
  <c r="J530" i="1"/>
  <c r="J522" i="1"/>
  <c r="K511" i="1"/>
  <c r="J514" i="1"/>
  <c r="J528" i="1"/>
  <c r="G546" i="1"/>
  <c r="H546" i="1"/>
  <c r="I546" i="1"/>
  <c r="J546" i="1"/>
  <c r="F546" i="1"/>
  <c r="G559" i="1"/>
  <c r="H559" i="1"/>
  <c r="I559" i="1"/>
  <c r="J559" i="1"/>
  <c r="F559" i="1"/>
  <c r="G556" i="1"/>
  <c r="H556" i="1"/>
  <c r="I556" i="1"/>
  <c r="J556" i="1"/>
  <c r="F556" i="1"/>
  <c r="G545" i="1"/>
  <c r="H545" i="1"/>
  <c r="I545" i="1"/>
  <c r="J545" i="1"/>
  <c r="F545" i="1"/>
  <c r="G552" i="1"/>
  <c r="H552" i="1"/>
  <c r="I552" i="1"/>
  <c r="J552" i="1"/>
  <c r="F552" i="1"/>
  <c r="P25" i="1"/>
  <c r="L19" i="1"/>
  <c r="M19" i="1"/>
  <c r="N19" i="1"/>
  <c r="O19" i="1"/>
  <c r="P19" i="1"/>
  <c r="K19" i="1"/>
  <c r="G548" i="1"/>
  <c r="H548" i="1"/>
  <c r="I548" i="1"/>
  <c r="J548" i="1"/>
  <c r="F548" i="1"/>
  <c r="G550" i="1"/>
  <c r="H550" i="1"/>
  <c r="I550" i="1"/>
  <c r="J550" i="1"/>
  <c r="F550" i="1"/>
  <c r="J523" i="1"/>
  <c r="K520" i="1" s="1"/>
  <c r="K522" i="1" s="1"/>
  <c r="J517" i="1"/>
  <c r="K513" i="1" s="1"/>
  <c r="J474" i="1"/>
  <c r="K115" i="1"/>
  <c r="J468" i="1"/>
  <c r="K113" i="1"/>
  <c r="L113" i="1" s="1"/>
  <c r="M113" i="1" s="1"/>
  <c r="N113" i="1" s="1"/>
  <c r="O113" i="1" s="1"/>
  <c r="K112" i="1"/>
  <c r="D155" i="2"/>
  <c r="E155" i="2"/>
  <c r="F155" i="2"/>
  <c r="C155" i="2"/>
  <c r="O58" i="1"/>
  <c r="N58" i="1"/>
  <c r="M58" i="1"/>
  <c r="L58" i="1"/>
  <c r="K58" i="1"/>
  <c r="P300" i="1"/>
  <c r="P301" i="1"/>
  <c r="P307" i="1"/>
  <c r="K610" i="1"/>
  <c r="J610" i="1"/>
  <c r="J633" i="1"/>
  <c r="J626" i="1"/>
  <c r="J619" i="1"/>
  <c r="J272" i="1"/>
  <c r="K272" i="1" s="1"/>
  <c r="L272" i="1" s="1"/>
  <c r="M272" i="1" s="1"/>
  <c r="N272" i="1" s="1"/>
  <c r="O272" i="1" s="1"/>
  <c r="K69" i="1"/>
  <c r="K422" i="1"/>
  <c r="L422" i="1" s="1"/>
  <c r="M422" i="1" s="1"/>
  <c r="N422" i="1" s="1"/>
  <c r="O422" i="1" s="1"/>
  <c r="P422" i="1" s="1"/>
  <c r="G484" i="1"/>
  <c r="J453" i="1"/>
  <c r="K449" i="1" s="1"/>
  <c r="K443" i="1"/>
  <c r="L443" i="1" s="1"/>
  <c r="M443" i="1" s="1"/>
  <c r="N443" i="1" s="1"/>
  <c r="O443" i="1" s="1"/>
  <c r="J440" i="1"/>
  <c r="L468" i="1"/>
  <c r="K398" i="1"/>
  <c r="J396" i="1"/>
  <c r="K394" i="1" s="1"/>
  <c r="K390" i="1"/>
  <c r="P377" i="1"/>
  <c r="L380" i="1"/>
  <c r="M380" i="1" s="1"/>
  <c r="N380" i="1" s="1"/>
  <c r="O380" i="1" s="1"/>
  <c r="P380" i="1" s="1"/>
  <c r="J378" i="1"/>
  <c r="K376" i="1" s="1"/>
  <c r="O56" i="1"/>
  <c r="N56" i="1"/>
  <c r="M56" i="1"/>
  <c r="L56" i="1"/>
  <c r="K56" i="1"/>
  <c r="D336" i="1"/>
  <c r="K354" i="1"/>
  <c r="D294" i="1"/>
  <c r="K312" i="1"/>
  <c r="C221" i="1"/>
  <c r="O25" i="3"/>
  <c r="O24" i="3"/>
  <c r="G41" i="3"/>
  <c r="P197" i="1"/>
  <c r="O197" i="1"/>
  <c r="N197" i="1"/>
  <c r="M197" i="1"/>
  <c r="L197" i="1"/>
  <c r="K197" i="1"/>
  <c r="P196" i="1"/>
  <c r="O196" i="1"/>
  <c r="N196" i="1"/>
  <c r="M196" i="1"/>
  <c r="L196" i="1"/>
  <c r="K196" i="1"/>
  <c r="P195" i="1"/>
  <c r="O195" i="1"/>
  <c r="N195" i="1"/>
  <c r="M195" i="1"/>
  <c r="L195" i="1"/>
  <c r="K195" i="1"/>
  <c r="L173" i="1"/>
  <c r="M173" i="1"/>
  <c r="N173" i="1"/>
  <c r="O173" i="1"/>
  <c r="P173" i="1"/>
  <c r="L174" i="1"/>
  <c r="M174" i="1"/>
  <c r="N174" i="1"/>
  <c r="O174" i="1"/>
  <c r="P174" i="1"/>
  <c r="K174" i="1"/>
  <c r="K173" i="1"/>
  <c r="L129" i="1"/>
  <c r="M129" i="1"/>
  <c r="N129" i="1"/>
  <c r="O129" i="1"/>
  <c r="P129" i="1"/>
  <c r="K129" i="1"/>
  <c r="F2" i="3"/>
  <c r="G2" i="3" s="1"/>
  <c r="H2" i="3" s="1"/>
  <c r="I2" i="3" s="1"/>
  <c r="J2" i="3" s="1"/>
  <c r="K2" i="3" s="1"/>
  <c r="L2" i="3" s="1"/>
  <c r="M2" i="3" s="1"/>
  <c r="N2" i="3" s="1"/>
  <c r="J270" i="1"/>
  <c r="G23" i="3" s="1"/>
  <c r="I8" i="2"/>
  <c r="I6" i="2"/>
  <c r="K227" i="1"/>
  <c r="L228" i="1" s="1"/>
  <c r="M229" i="1" s="1"/>
  <c r="N230" i="1" s="1"/>
  <c r="K228" i="1"/>
  <c r="L229" i="1" s="1"/>
  <c r="M230" i="1" s="1"/>
  <c r="K229" i="1"/>
  <c r="L230" i="1" s="1"/>
  <c r="K230" i="1"/>
  <c r="L220" i="1"/>
  <c r="M220" i="1" s="1"/>
  <c r="N220" i="1" s="1"/>
  <c r="O220" i="1" s="1"/>
  <c r="G202" i="1"/>
  <c r="H202" i="1"/>
  <c r="I202" i="1"/>
  <c r="J202" i="1"/>
  <c r="F202" i="1"/>
  <c r="G201" i="1"/>
  <c r="H201" i="1"/>
  <c r="I201" i="1"/>
  <c r="J201" i="1"/>
  <c r="F201" i="1"/>
  <c r="G200" i="1"/>
  <c r="H200" i="1"/>
  <c r="I200" i="1"/>
  <c r="J200" i="1"/>
  <c r="F200" i="1"/>
  <c r="G177" i="1"/>
  <c r="G192" i="1" s="1"/>
  <c r="H177" i="1"/>
  <c r="H192" i="1" s="1"/>
  <c r="I177" i="1"/>
  <c r="I192" i="1" s="1"/>
  <c r="J177" i="1"/>
  <c r="J192" i="1" s="1"/>
  <c r="G178" i="1"/>
  <c r="H178" i="1"/>
  <c r="I178" i="1"/>
  <c r="J178" i="1"/>
  <c r="F178" i="1"/>
  <c r="F177" i="1"/>
  <c r="F192" i="1" s="1"/>
  <c r="P171" i="1"/>
  <c r="P188" i="1" s="1"/>
  <c r="P214" i="1" s="1"/>
  <c r="P255" i="1" s="1"/>
  <c r="P289" i="1" s="1"/>
  <c r="H142" i="1"/>
  <c r="I142" i="1"/>
  <c r="J142" i="1"/>
  <c r="G142" i="1"/>
  <c r="J140" i="1"/>
  <c r="I140" i="1"/>
  <c r="H140" i="1"/>
  <c r="G140" i="1"/>
  <c r="J139" i="1"/>
  <c r="I139" i="1"/>
  <c r="H139" i="1"/>
  <c r="J138" i="1"/>
  <c r="I138" i="1"/>
  <c r="H138" i="1"/>
  <c r="J137" i="1"/>
  <c r="I137" i="1"/>
  <c r="H137" i="1"/>
  <c r="G137" i="1"/>
  <c r="J134" i="1"/>
  <c r="I134" i="1"/>
  <c r="H134" i="1"/>
  <c r="G134" i="1"/>
  <c r="J133" i="1"/>
  <c r="I133" i="1"/>
  <c r="H133" i="1"/>
  <c r="G133" i="1"/>
  <c r="J132" i="1"/>
  <c r="I132" i="1"/>
  <c r="H132" i="1"/>
  <c r="G132" i="1"/>
  <c r="J131" i="1"/>
  <c r="I131" i="1"/>
  <c r="H131" i="1"/>
  <c r="G131" i="1"/>
  <c r="G160" i="1"/>
  <c r="H160" i="1"/>
  <c r="I160" i="1"/>
  <c r="J160" i="1"/>
  <c r="G151" i="1"/>
  <c r="H151" i="1"/>
  <c r="I151" i="1"/>
  <c r="J151" i="1"/>
  <c r="F151" i="1"/>
  <c r="G163" i="1"/>
  <c r="H163" i="1"/>
  <c r="I163" i="1"/>
  <c r="J163" i="1"/>
  <c r="F163" i="1"/>
  <c r="F158" i="1"/>
  <c r="G139" i="1" s="1"/>
  <c r="F157" i="1"/>
  <c r="B130" i="2"/>
  <c r="B129" i="2"/>
  <c r="B81" i="2"/>
  <c r="B79" i="2"/>
  <c r="G3" i="1"/>
  <c r="F31" i="1"/>
  <c r="F79" i="1" s="1"/>
  <c r="E182" i="2" s="1"/>
  <c r="F70" i="1"/>
  <c r="G70" i="1"/>
  <c r="H70" i="1"/>
  <c r="I70" i="1"/>
  <c r="J70" i="1"/>
  <c r="F74" i="1"/>
  <c r="G74" i="1"/>
  <c r="H74" i="1"/>
  <c r="I74" i="1"/>
  <c r="J74" i="1"/>
  <c r="F120" i="1"/>
  <c r="F122" i="1" s="1"/>
  <c r="G120" i="1"/>
  <c r="G122" i="1" s="1"/>
  <c r="H120" i="1"/>
  <c r="H122" i="1" s="1"/>
  <c r="I120" i="1"/>
  <c r="I122" i="1" s="1"/>
  <c r="K536" i="1" l="1"/>
  <c r="K428" i="1" s="1"/>
  <c r="K14" i="1" s="1"/>
  <c r="J611" i="1"/>
  <c r="K622" i="1"/>
  <c r="N243" i="1"/>
  <c r="I565" i="1"/>
  <c r="J388" i="1"/>
  <c r="K386" i="1" s="1"/>
  <c r="J567" i="1"/>
  <c r="I143" i="1"/>
  <c r="K550" i="1"/>
  <c r="K25" i="1" s="1"/>
  <c r="K591" i="1" s="1"/>
  <c r="K592" i="1" s="1"/>
  <c r="K62" i="1" s="1"/>
  <c r="F553" i="1"/>
  <c r="J565" i="1"/>
  <c r="L60" i="3"/>
  <c r="O76" i="3"/>
  <c r="O83" i="3" s="1"/>
  <c r="G565" i="1"/>
  <c r="O40" i="3"/>
  <c r="E74" i="3" s="1"/>
  <c r="E76" i="3" s="1"/>
  <c r="J143" i="1"/>
  <c r="H565" i="1"/>
  <c r="K586" i="1"/>
  <c r="K472" i="1" s="1"/>
  <c r="K473" i="1" s="1"/>
  <c r="H143" i="1"/>
  <c r="K668" i="1"/>
  <c r="K671" i="1" s="1"/>
  <c r="L656" i="1"/>
  <c r="K675" i="1"/>
  <c r="L675" i="1" s="1"/>
  <c r="M675" i="1" s="1"/>
  <c r="N675" i="1" s="1"/>
  <c r="O675" i="1" s="1"/>
  <c r="P675" i="1" s="1"/>
  <c r="G76" i="3"/>
  <c r="N84" i="3"/>
  <c r="M59" i="3"/>
  <c r="M60" i="3"/>
  <c r="L59" i="3"/>
  <c r="G601" i="1"/>
  <c r="I601" i="1"/>
  <c r="G598" i="1"/>
  <c r="J598" i="1"/>
  <c r="F598" i="1"/>
  <c r="H595" i="1"/>
  <c r="F595" i="1"/>
  <c r="H601" i="1"/>
  <c r="J601" i="1"/>
  <c r="F601" i="1"/>
  <c r="H598" i="1"/>
  <c r="I598" i="1"/>
  <c r="G595" i="1"/>
  <c r="I595" i="1"/>
  <c r="J595" i="1"/>
  <c r="K90" i="1"/>
  <c r="L90" i="1"/>
  <c r="I229" i="1"/>
  <c r="I227" i="1"/>
  <c r="I230" i="1"/>
  <c r="I226" i="1"/>
  <c r="I228" i="1"/>
  <c r="G560" i="1"/>
  <c r="H580" i="1"/>
  <c r="H582" i="1"/>
  <c r="H560" i="1"/>
  <c r="I560" i="1"/>
  <c r="J560" i="1"/>
  <c r="F560" i="1"/>
  <c r="I580" i="1"/>
  <c r="I582" i="1"/>
  <c r="J582" i="1"/>
  <c r="G580" i="1"/>
  <c r="F582" i="1"/>
  <c r="F580" i="1"/>
  <c r="J580" i="1"/>
  <c r="G582" i="1"/>
  <c r="J571" i="1"/>
  <c r="I571" i="1"/>
  <c r="H571" i="1"/>
  <c r="F565" i="1"/>
  <c r="O569" i="1"/>
  <c r="O387" i="1" s="1"/>
  <c r="O410" i="1" s="1"/>
  <c r="N569" i="1"/>
  <c r="N463" i="1" s="1"/>
  <c r="M569" i="1"/>
  <c r="M463" i="1" s="1"/>
  <c r="L569" i="1"/>
  <c r="L463" i="1" s="1"/>
  <c r="K569" i="1"/>
  <c r="K463" i="1" s="1"/>
  <c r="G557" i="1"/>
  <c r="I557" i="1"/>
  <c r="F557" i="1"/>
  <c r="H557" i="1"/>
  <c r="J557" i="1"/>
  <c r="K512" i="1"/>
  <c r="L511" i="1"/>
  <c r="M511" i="1" s="1"/>
  <c r="N511" i="1" s="1"/>
  <c r="O511" i="1" s="1"/>
  <c r="K423" i="1"/>
  <c r="G196" i="1"/>
  <c r="I197" i="1"/>
  <c r="G553" i="1"/>
  <c r="G554" i="1"/>
  <c r="H554" i="1"/>
  <c r="H553" i="1"/>
  <c r="I553" i="1"/>
  <c r="I554" i="1"/>
  <c r="J554" i="1"/>
  <c r="J553" i="1"/>
  <c r="L112" i="1"/>
  <c r="M112" i="1" s="1"/>
  <c r="N112" i="1" s="1"/>
  <c r="O112" i="1" s="1"/>
  <c r="M468" i="1"/>
  <c r="L115" i="1"/>
  <c r="F127" i="1"/>
  <c r="F171" i="1" s="1"/>
  <c r="F188" i="1" s="1"/>
  <c r="F214" i="1" s="1"/>
  <c r="F255" i="1" s="1"/>
  <c r="F289" i="1" s="1"/>
  <c r="F331" i="1" s="1"/>
  <c r="F373" i="1" s="1"/>
  <c r="F404" i="1" s="1"/>
  <c r="F435" i="1" s="1"/>
  <c r="F479" i="1" s="1"/>
  <c r="K471" i="1"/>
  <c r="P373" i="1"/>
  <c r="P404" i="1" s="1"/>
  <c r="P606" i="1" s="1"/>
  <c r="P651" i="1" s="1"/>
  <c r="L610" i="1"/>
  <c r="L622" i="1" s="1"/>
  <c r="K438" i="1"/>
  <c r="K440" i="1" s="1"/>
  <c r="L438" i="1" s="1"/>
  <c r="L440" i="1" s="1"/>
  <c r="M438" i="1" s="1"/>
  <c r="M440" i="1" s="1"/>
  <c r="N438" i="1" s="1"/>
  <c r="N440" i="1" s="1"/>
  <c r="O438" i="1" s="1"/>
  <c r="O440" i="1" s="1"/>
  <c r="G162" i="1"/>
  <c r="G164" i="1" s="1"/>
  <c r="H162" i="1"/>
  <c r="H164" i="1" s="1"/>
  <c r="I162" i="1"/>
  <c r="I164" i="1" s="1"/>
  <c r="J280" i="1"/>
  <c r="K277" i="1" s="1"/>
  <c r="K266" i="1"/>
  <c r="K396" i="1"/>
  <c r="K95" i="1" s="1"/>
  <c r="J273" i="1"/>
  <c r="L398" i="1"/>
  <c r="L390" i="1"/>
  <c r="M243" i="1"/>
  <c r="L243" i="1"/>
  <c r="O243" i="1"/>
  <c r="K243" i="1"/>
  <c r="L140" i="1"/>
  <c r="L131" i="1"/>
  <c r="L133" i="1"/>
  <c r="L134" i="1"/>
  <c r="M139" i="1"/>
  <c r="M131" i="1"/>
  <c r="M133" i="1"/>
  <c r="M134" i="1"/>
  <c r="N139" i="1"/>
  <c r="N131" i="1"/>
  <c r="N133" i="1"/>
  <c r="N134" i="1"/>
  <c r="O139" i="1"/>
  <c r="O131" i="1"/>
  <c r="O133" i="1"/>
  <c r="O134" i="1"/>
  <c r="P140" i="1"/>
  <c r="P131" i="1"/>
  <c r="P133" i="1"/>
  <c r="P134" i="1"/>
  <c r="K139" i="1"/>
  <c r="K158" i="1" s="1"/>
  <c r="K140" i="1"/>
  <c r="K159" i="1" s="1"/>
  <c r="K134" i="1"/>
  <c r="K150" i="1" s="1"/>
  <c r="K133" i="1"/>
  <c r="K149" i="1" s="1"/>
  <c r="M132" i="1"/>
  <c r="M138" i="1" s="1"/>
  <c r="M140" i="1"/>
  <c r="N132" i="1"/>
  <c r="N138" i="1" s="1"/>
  <c r="N140" i="1"/>
  <c r="O132" i="1"/>
  <c r="O138" i="1" s="1"/>
  <c r="O140" i="1"/>
  <c r="K132" i="1"/>
  <c r="K131" i="1"/>
  <c r="L132" i="1"/>
  <c r="L138" i="1" s="1"/>
  <c r="L139" i="1"/>
  <c r="P132" i="1"/>
  <c r="P138" i="1" s="1"/>
  <c r="P139" i="1"/>
  <c r="G143" i="1"/>
  <c r="J197" i="1"/>
  <c r="G197" i="1"/>
  <c r="J162" i="1"/>
  <c r="J164" i="1" s="1"/>
  <c r="I196" i="1"/>
  <c r="H197" i="1"/>
  <c r="H196" i="1"/>
  <c r="L227" i="1"/>
  <c r="M228" i="1" s="1"/>
  <c r="N229" i="1" s="1"/>
  <c r="O230" i="1" s="1"/>
  <c r="J196" i="1"/>
  <c r="F197" i="1"/>
  <c r="F196" i="1"/>
  <c r="F160" i="1"/>
  <c r="F162" i="1" s="1"/>
  <c r="F164" i="1" s="1"/>
  <c r="G138" i="1"/>
  <c r="H3" i="1"/>
  <c r="G31" i="1"/>
  <c r="G79" i="1" s="1"/>
  <c r="F182" i="2" s="1"/>
  <c r="L611" i="1" l="1"/>
  <c r="M611" i="1" s="1"/>
  <c r="N611" i="1" s="1"/>
  <c r="O611" i="1" s="1"/>
  <c r="P611" i="1" s="1"/>
  <c r="K629" i="1"/>
  <c r="L550" i="1"/>
  <c r="L25" i="1" s="1"/>
  <c r="L591" i="1" s="1"/>
  <c r="L592" i="1" s="1"/>
  <c r="L62" i="1" s="1"/>
  <c r="K474" i="1"/>
  <c r="K117" i="1" s="1"/>
  <c r="J690" i="1"/>
  <c r="G561" i="1"/>
  <c r="I561" i="1"/>
  <c r="H561" i="1"/>
  <c r="L586" i="1"/>
  <c r="M586" i="1" s="1"/>
  <c r="L668" i="1"/>
  <c r="L671" i="1" s="1"/>
  <c r="M656" i="1"/>
  <c r="O59" i="3"/>
  <c r="O60" i="3"/>
  <c r="F74" i="3"/>
  <c r="F75" i="3"/>
  <c r="K515" i="1"/>
  <c r="K514" i="1"/>
  <c r="M90" i="1"/>
  <c r="J561" i="1"/>
  <c r="K560" i="1"/>
  <c r="L560" i="1" s="1"/>
  <c r="M560" i="1" s="1"/>
  <c r="N560" i="1" s="1"/>
  <c r="O57" i="1"/>
  <c r="O463" i="1"/>
  <c r="M57" i="1"/>
  <c r="M387" i="1"/>
  <c r="M410" i="1" s="1"/>
  <c r="K57" i="1"/>
  <c r="K387" i="1"/>
  <c r="N57" i="1"/>
  <c r="N387" i="1"/>
  <c r="N410" i="1" s="1"/>
  <c r="L57" i="1"/>
  <c r="L387" i="1"/>
  <c r="L410" i="1" s="1"/>
  <c r="K521" i="1"/>
  <c r="K537" i="1"/>
  <c r="K530" i="1"/>
  <c r="K535" i="1"/>
  <c r="K528" i="1"/>
  <c r="L512" i="1"/>
  <c r="M550" i="1"/>
  <c r="N90" i="1"/>
  <c r="O90" i="1" s="1"/>
  <c r="F606" i="1"/>
  <c r="F651" i="1" s="1"/>
  <c r="F510" i="1"/>
  <c r="F543" i="1" s="1"/>
  <c r="M115" i="1"/>
  <c r="N468" i="1"/>
  <c r="G127" i="1"/>
  <c r="G171" i="1" s="1"/>
  <c r="G188" i="1" s="1"/>
  <c r="G214" i="1" s="1"/>
  <c r="G255" i="1" s="1"/>
  <c r="G289" i="1" s="1"/>
  <c r="G331" i="1" s="1"/>
  <c r="G373" i="1" s="1"/>
  <c r="G404" i="1" s="1"/>
  <c r="G435" i="1" s="1"/>
  <c r="G479" i="1" s="1"/>
  <c r="K625" i="1"/>
  <c r="L625" i="1"/>
  <c r="M610" i="1"/>
  <c r="M622" i="1" s="1"/>
  <c r="L394" i="1"/>
  <c r="K399" i="1"/>
  <c r="L150" i="1"/>
  <c r="M150" i="1" s="1"/>
  <c r="N150" i="1" s="1"/>
  <c r="O150" i="1" s="1"/>
  <c r="P150" i="1" s="1"/>
  <c r="L159" i="1"/>
  <c r="M159" i="1" s="1"/>
  <c r="N159" i="1" s="1"/>
  <c r="O159" i="1" s="1"/>
  <c r="P159" i="1" s="1"/>
  <c r="L149" i="1"/>
  <c r="M149" i="1" s="1"/>
  <c r="N149" i="1" s="1"/>
  <c r="O149" i="1" s="1"/>
  <c r="P149" i="1" s="1"/>
  <c r="M398" i="1"/>
  <c r="M390" i="1"/>
  <c r="L137" i="1"/>
  <c r="L143" i="1"/>
  <c r="M143" i="1"/>
  <c r="M137" i="1"/>
  <c r="N143" i="1"/>
  <c r="N137" i="1"/>
  <c r="O137" i="1"/>
  <c r="O143" i="1"/>
  <c r="P143" i="1"/>
  <c r="P137" i="1"/>
  <c r="L158" i="1"/>
  <c r="M158" i="1" s="1"/>
  <c r="N158" i="1" s="1"/>
  <c r="O158" i="1" s="1"/>
  <c r="P158" i="1" s="1"/>
  <c r="K148" i="1"/>
  <c r="L148" i="1" s="1"/>
  <c r="M148" i="1" s="1"/>
  <c r="N148" i="1" s="1"/>
  <c r="O148" i="1" s="1"/>
  <c r="P148" i="1" s="1"/>
  <c r="K138" i="1"/>
  <c r="K157" i="1" s="1"/>
  <c r="K147" i="1"/>
  <c r="K142" i="1"/>
  <c r="K153" i="1" s="1"/>
  <c r="L153" i="1" s="1"/>
  <c r="M153" i="1" s="1"/>
  <c r="N153" i="1" s="1"/>
  <c r="O153" i="1" s="1"/>
  <c r="P153" i="1" s="1"/>
  <c r="K143" i="1"/>
  <c r="K163" i="1" s="1"/>
  <c r="K6" i="1" s="1"/>
  <c r="K137" i="1"/>
  <c r="K156" i="1" s="1"/>
  <c r="I176" i="1"/>
  <c r="I166" i="1"/>
  <c r="I191" i="1"/>
  <c r="I195" i="1" s="1"/>
  <c r="H176" i="1"/>
  <c r="H166" i="1"/>
  <c r="H191" i="1"/>
  <c r="H195" i="1" s="1"/>
  <c r="J191" i="1"/>
  <c r="J195" i="1" s="1"/>
  <c r="J166" i="1"/>
  <c r="J176" i="1"/>
  <c r="G191" i="1"/>
  <c r="G195" i="1" s="1"/>
  <c r="G176" i="1"/>
  <c r="G166" i="1"/>
  <c r="F166" i="1"/>
  <c r="F176" i="1"/>
  <c r="F191" i="1"/>
  <c r="F195" i="1" s="1"/>
  <c r="I3" i="1"/>
  <c r="H31" i="1"/>
  <c r="H79" i="1" s="1"/>
  <c r="G182" i="2" s="1"/>
  <c r="L471" i="1" l="1"/>
  <c r="G66" i="3"/>
  <c r="G67" i="3" s="1"/>
  <c r="G68" i="3" s="1"/>
  <c r="O66" i="3" s="1"/>
  <c r="O68" i="3" s="1"/>
  <c r="O84" i="3" s="1"/>
  <c r="O88" i="3" s="1"/>
  <c r="L629" i="1"/>
  <c r="M629" i="1" s="1"/>
  <c r="N629" i="1" s="1"/>
  <c r="O629" i="1" s="1"/>
  <c r="J645" i="1"/>
  <c r="F76" i="3"/>
  <c r="L472" i="1"/>
  <c r="L473" i="1" s="1"/>
  <c r="F78" i="3"/>
  <c r="M668" i="1"/>
  <c r="M671" i="1" s="1"/>
  <c r="N656" i="1"/>
  <c r="K517" i="1"/>
  <c r="L515" i="1"/>
  <c r="K388" i="1"/>
  <c r="K391" i="1" s="1"/>
  <c r="K427" i="1" s="1"/>
  <c r="K13" i="1" s="1"/>
  <c r="K410" i="1"/>
  <c r="N586" i="1"/>
  <c r="M472" i="1"/>
  <c r="M473" i="1" s="1"/>
  <c r="K538" i="1"/>
  <c r="L535" i="1"/>
  <c r="L537" i="1"/>
  <c r="L530" i="1"/>
  <c r="K523" i="1"/>
  <c r="L521" i="1"/>
  <c r="K531" i="1"/>
  <c r="L528" i="1"/>
  <c r="L514" i="1"/>
  <c r="M512" i="1"/>
  <c r="N512" i="1" s="1"/>
  <c r="O512" i="1" s="1"/>
  <c r="O560" i="1"/>
  <c r="N550" i="1"/>
  <c r="M25" i="1"/>
  <c r="M591" i="1" s="1"/>
  <c r="M592" i="1" s="1"/>
  <c r="M62" i="1" s="1"/>
  <c r="G606" i="1"/>
  <c r="G651" i="1" s="1"/>
  <c r="G510" i="1"/>
  <c r="G543" i="1" s="1"/>
  <c r="N115" i="1"/>
  <c r="O468" i="1"/>
  <c r="O115" i="1" s="1"/>
  <c r="H127" i="1"/>
  <c r="H171" i="1" s="1"/>
  <c r="H188" i="1" s="1"/>
  <c r="H214" i="1" s="1"/>
  <c r="H255" i="1" s="1"/>
  <c r="H289" i="1" s="1"/>
  <c r="H331" i="1" s="1"/>
  <c r="H373" i="1" s="1"/>
  <c r="H404" i="1" s="1"/>
  <c r="H435" i="1" s="1"/>
  <c r="H479" i="1" s="1"/>
  <c r="N610" i="1"/>
  <c r="N622" i="1" s="1"/>
  <c r="M625" i="1"/>
  <c r="L396" i="1"/>
  <c r="L95" i="1" s="1"/>
  <c r="L156" i="1"/>
  <c r="M156" i="1" s="1"/>
  <c r="I174" i="1"/>
  <c r="I173" i="1"/>
  <c r="H174" i="1"/>
  <c r="H173" i="1"/>
  <c r="J174" i="1"/>
  <c r="J173" i="1"/>
  <c r="G174" i="1"/>
  <c r="G173" i="1"/>
  <c r="N398" i="1"/>
  <c r="N390" i="1"/>
  <c r="L163" i="1"/>
  <c r="L157" i="1"/>
  <c r="K160" i="1"/>
  <c r="L147" i="1"/>
  <c r="K151" i="1"/>
  <c r="F174" i="1"/>
  <c r="F173" i="1"/>
  <c r="I31" i="1"/>
  <c r="I79" i="1" s="1"/>
  <c r="H182" i="2" s="1"/>
  <c r="J3" i="1"/>
  <c r="G96" i="3" l="1"/>
  <c r="D655" i="1"/>
  <c r="K678" i="1" s="1"/>
  <c r="L474" i="1"/>
  <c r="M471" i="1" s="1"/>
  <c r="M474" i="1" s="1"/>
  <c r="N668" i="1"/>
  <c r="N671" i="1" s="1"/>
  <c r="N678" i="1" s="1"/>
  <c r="O656" i="1"/>
  <c r="M515" i="1"/>
  <c r="N515" i="1" s="1"/>
  <c r="O515" i="1" s="1"/>
  <c r="K101" i="1"/>
  <c r="K567" i="1" s="1"/>
  <c r="L386" i="1"/>
  <c r="O586" i="1"/>
  <c r="O472" i="1" s="1"/>
  <c r="O473" i="1" s="1"/>
  <c r="N472" i="1"/>
  <c r="N473" i="1" s="1"/>
  <c r="L534" i="1"/>
  <c r="L536" i="1" s="1"/>
  <c r="K103" i="1"/>
  <c r="L527" i="1"/>
  <c r="K102" i="1"/>
  <c r="L513" i="1"/>
  <c r="L517" i="1" s="1"/>
  <c r="K88" i="1"/>
  <c r="L520" i="1"/>
  <c r="L522" i="1" s="1"/>
  <c r="L523" i="1" s="1"/>
  <c r="K89" i="1"/>
  <c r="M535" i="1"/>
  <c r="N535" i="1" s="1"/>
  <c r="O535" i="1" s="1"/>
  <c r="M537" i="1"/>
  <c r="N537" i="1" s="1"/>
  <c r="O537" i="1" s="1"/>
  <c r="M530" i="1"/>
  <c r="N530" i="1" s="1"/>
  <c r="O530" i="1" s="1"/>
  <c r="M528" i="1"/>
  <c r="M514" i="1"/>
  <c r="N514" i="1" s="1"/>
  <c r="O514" i="1" s="1"/>
  <c r="M521" i="1"/>
  <c r="N521" i="1" s="1"/>
  <c r="O521" i="1" s="1"/>
  <c r="N25" i="1"/>
  <c r="N591" i="1" s="1"/>
  <c r="N592" i="1" s="1"/>
  <c r="N62" i="1" s="1"/>
  <c r="O550" i="1"/>
  <c r="O25" i="1" s="1"/>
  <c r="O591" i="1" s="1"/>
  <c r="O592" i="1" s="1"/>
  <c r="O62" i="1" s="1"/>
  <c r="H606" i="1"/>
  <c r="H651" i="1" s="1"/>
  <c r="H510" i="1"/>
  <c r="H543" i="1" s="1"/>
  <c r="I127" i="1"/>
  <c r="I171" i="1" s="1"/>
  <c r="I188" i="1" s="1"/>
  <c r="I214" i="1" s="1"/>
  <c r="I255" i="1" s="1"/>
  <c r="I289" i="1" s="1"/>
  <c r="I331" i="1" s="1"/>
  <c r="I373" i="1" s="1"/>
  <c r="I404" i="1" s="1"/>
  <c r="I435" i="1" s="1"/>
  <c r="I479" i="1" s="1"/>
  <c r="N625" i="1"/>
  <c r="O610" i="1"/>
  <c r="M394" i="1"/>
  <c r="L399" i="1"/>
  <c r="K162" i="1"/>
  <c r="M163" i="1"/>
  <c r="L6" i="1"/>
  <c r="O398" i="1"/>
  <c r="O390" i="1"/>
  <c r="M157" i="1"/>
  <c r="L160" i="1"/>
  <c r="M147" i="1"/>
  <c r="L151" i="1"/>
  <c r="N156" i="1"/>
  <c r="J31" i="1"/>
  <c r="J79" i="1" s="1"/>
  <c r="I182" i="2" s="1"/>
  <c r="K3" i="1"/>
  <c r="L678" i="1" l="1"/>
  <c r="M678" i="1"/>
  <c r="E700" i="1"/>
  <c r="D609" i="1"/>
  <c r="G97" i="3"/>
  <c r="L117" i="1"/>
  <c r="O668" i="1"/>
  <c r="O671" i="1" s="1"/>
  <c r="O678" i="1" s="1"/>
  <c r="P656" i="1"/>
  <c r="M117" i="1"/>
  <c r="N471" i="1"/>
  <c r="N474" i="1" s="1"/>
  <c r="L388" i="1"/>
  <c r="L391" i="1" s="1"/>
  <c r="L529" i="1"/>
  <c r="L516" i="1" s="1"/>
  <c r="L428" i="1"/>
  <c r="L14" i="1" s="1"/>
  <c r="L538" i="1"/>
  <c r="M513" i="1"/>
  <c r="M517" i="1" s="1"/>
  <c r="L88" i="1"/>
  <c r="M520" i="1"/>
  <c r="M522" i="1" s="1"/>
  <c r="M523" i="1" s="1"/>
  <c r="L89" i="1"/>
  <c r="N528" i="1"/>
  <c r="O528" i="1" s="1"/>
  <c r="I606" i="1"/>
  <c r="I651" i="1" s="1"/>
  <c r="I510" i="1"/>
  <c r="I543" i="1" s="1"/>
  <c r="J127" i="1"/>
  <c r="J171" i="1" s="1"/>
  <c r="J188" i="1" s="1"/>
  <c r="J214" i="1" s="1"/>
  <c r="J255" i="1" s="1"/>
  <c r="J289" i="1" s="1"/>
  <c r="J331" i="1" s="1"/>
  <c r="J373" i="1" s="1"/>
  <c r="J404" i="1" s="1"/>
  <c r="J435" i="1" s="1"/>
  <c r="J479" i="1" s="1"/>
  <c r="P610" i="1"/>
  <c r="O622" i="1"/>
  <c r="K164" i="1"/>
  <c r="K5" i="1"/>
  <c r="K7" i="1" s="1"/>
  <c r="L162" i="1"/>
  <c r="M396" i="1"/>
  <c r="M95" i="1" s="1"/>
  <c r="M6" i="1"/>
  <c r="N163" i="1"/>
  <c r="N157" i="1"/>
  <c r="M160" i="1"/>
  <c r="P398" i="1"/>
  <c r="P390" i="1"/>
  <c r="M151" i="1"/>
  <c r="N147" i="1"/>
  <c r="O156" i="1"/>
  <c r="K31" i="1"/>
  <c r="K79" i="1" s="1"/>
  <c r="L3" i="1"/>
  <c r="K632" i="1" l="1"/>
  <c r="L632" i="1"/>
  <c r="M632" i="1"/>
  <c r="N632" i="1"/>
  <c r="L531" i="1"/>
  <c r="M527" i="1" s="1"/>
  <c r="M529" i="1" s="1"/>
  <c r="F665" i="1"/>
  <c r="P668" i="1"/>
  <c r="L101" i="1"/>
  <c r="L567" i="1" s="1"/>
  <c r="M386" i="1"/>
  <c r="K545" i="1"/>
  <c r="J10" i="3"/>
  <c r="N117" i="1"/>
  <c r="O471" i="1"/>
  <c r="O474" i="1" s="1"/>
  <c r="O117" i="1" s="1"/>
  <c r="M534" i="1"/>
  <c r="M536" i="1" s="1"/>
  <c r="L103" i="1"/>
  <c r="N513" i="1"/>
  <c r="N517" i="1" s="1"/>
  <c r="M88" i="1"/>
  <c r="N520" i="1"/>
  <c r="N522" i="1" s="1"/>
  <c r="N523" i="1" s="1"/>
  <c r="M89" i="1"/>
  <c r="J606" i="1"/>
  <c r="J651" i="1" s="1"/>
  <c r="J510" i="1"/>
  <c r="J543" i="1" s="1"/>
  <c r="N394" i="1"/>
  <c r="N396" i="1" s="1"/>
  <c r="N95" i="1" s="1"/>
  <c r="M399" i="1"/>
  <c r="K127" i="1"/>
  <c r="K171" i="1" s="1"/>
  <c r="K188" i="1" s="1"/>
  <c r="K214" i="1" s="1"/>
  <c r="K225" i="1" s="1"/>
  <c r="K234" i="1" s="1"/>
  <c r="K191" i="1"/>
  <c r="K200" i="1" s="1"/>
  <c r="K176" i="1"/>
  <c r="L164" i="1"/>
  <c r="L5" i="1"/>
  <c r="L7" i="1" s="1"/>
  <c r="O157" i="1"/>
  <c r="N160" i="1"/>
  <c r="P413" i="1" s="1"/>
  <c r="M162" i="1"/>
  <c r="N151" i="1"/>
  <c r="O147" i="1"/>
  <c r="N6" i="1"/>
  <c r="O163" i="1"/>
  <c r="P156" i="1"/>
  <c r="M3" i="1"/>
  <c r="L31" i="1"/>
  <c r="L79" i="1" s="1"/>
  <c r="L102" i="1" l="1"/>
  <c r="M388" i="1"/>
  <c r="M391" i="1" s="1"/>
  <c r="M531" i="1"/>
  <c r="M516" i="1"/>
  <c r="K556" i="1"/>
  <c r="K91" i="1" s="1"/>
  <c r="K44" i="1" s="1"/>
  <c r="K552" i="1"/>
  <c r="K84" i="1" s="1"/>
  <c r="K43" i="1" s="1"/>
  <c r="K583" i="1"/>
  <c r="K600" i="1"/>
  <c r="K53" i="1" s="1"/>
  <c r="K594" i="1"/>
  <c r="K39" i="1" s="1"/>
  <c r="K597" i="1"/>
  <c r="K63" i="1" s="1"/>
  <c r="K216" i="1"/>
  <c r="K495" i="1"/>
  <c r="K503" i="1" s="1"/>
  <c r="K257" i="1"/>
  <c r="L545" i="1"/>
  <c r="K10" i="3"/>
  <c r="M428" i="1"/>
  <c r="M14" i="1" s="1"/>
  <c r="M538" i="1"/>
  <c r="N88" i="1"/>
  <c r="O513" i="1"/>
  <c r="O517" i="1" s="1"/>
  <c r="O88" i="1" s="1"/>
  <c r="N89" i="1"/>
  <c r="O520" i="1"/>
  <c r="O522" i="1" s="1"/>
  <c r="O523" i="1" s="1"/>
  <c r="O89" i="1" s="1"/>
  <c r="O394" i="1"/>
  <c r="O396" i="1" s="1"/>
  <c r="O95" i="1" s="1"/>
  <c r="N399" i="1"/>
  <c r="K255" i="1"/>
  <c r="K289" i="1" s="1"/>
  <c r="K331" i="1" s="1"/>
  <c r="K373" i="1" s="1"/>
  <c r="K404" i="1" s="1"/>
  <c r="K435" i="1" s="1"/>
  <c r="K479" i="1" s="1"/>
  <c r="H226" i="1"/>
  <c r="H235" i="1" s="1"/>
  <c r="L127" i="1"/>
  <c r="L171" i="1" s="1"/>
  <c r="L188" i="1" s="1"/>
  <c r="L214" i="1" s="1"/>
  <c r="L225" i="1" s="1"/>
  <c r="L234" i="1" s="1"/>
  <c r="K206" i="1"/>
  <c r="K40" i="1" s="1"/>
  <c r="K82" i="1"/>
  <c r="K178" i="1"/>
  <c r="K183" i="1" s="1"/>
  <c r="K10" i="1" s="1"/>
  <c r="K177" i="1"/>
  <c r="L191" i="1"/>
  <c r="L200" i="1" s="1"/>
  <c r="L176" i="1"/>
  <c r="N162" i="1"/>
  <c r="P157" i="1"/>
  <c r="P160" i="1" s="1"/>
  <c r="O160" i="1"/>
  <c r="M164" i="1"/>
  <c r="M5" i="1"/>
  <c r="M7" i="1" s="1"/>
  <c r="O151" i="1"/>
  <c r="P147" i="1"/>
  <c r="P151" i="1" s="1"/>
  <c r="O6" i="1"/>
  <c r="P163" i="1"/>
  <c r="P6" i="1" s="1"/>
  <c r="M31" i="1"/>
  <c r="M79" i="1" s="1"/>
  <c r="N3" i="1"/>
  <c r="N386" i="1" l="1"/>
  <c r="M101" i="1"/>
  <c r="M567" i="1" s="1"/>
  <c r="N527" i="1"/>
  <c r="N529" i="1" s="1"/>
  <c r="M102" i="1"/>
  <c r="L583" i="1"/>
  <c r="L556" i="1"/>
  <c r="L91" i="1" s="1"/>
  <c r="L44" i="1" s="1"/>
  <c r="L552" i="1"/>
  <c r="L84" i="1" s="1"/>
  <c r="L43" i="1" s="1"/>
  <c r="K267" i="1"/>
  <c r="K278" i="1"/>
  <c r="K279" i="1" s="1"/>
  <c r="K49" i="1"/>
  <c r="K575" i="1" s="1"/>
  <c r="L597" i="1"/>
  <c r="L63" i="1" s="1"/>
  <c r="L594" i="1"/>
  <c r="L39" i="1" s="1"/>
  <c r="L600" i="1"/>
  <c r="L53" i="1" s="1"/>
  <c r="L257" i="1"/>
  <c r="L495" i="1"/>
  <c r="L503" i="1" s="1"/>
  <c r="L216" i="1"/>
  <c r="M545" i="1"/>
  <c r="L10" i="3"/>
  <c r="M103" i="1"/>
  <c r="N534" i="1"/>
  <c r="K606" i="1"/>
  <c r="K651" i="1" s="1"/>
  <c r="K510" i="1"/>
  <c r="K543" i="1" s="1"/>
  <c r="K182" i="1"/>
  <c r="K9" i="1" s="1"/>
  <c r="K192" i="1"/>
  <c r="L255" i="1"/>
  <c r="L289" i="1" s="1"/>
  <c r="L331" i="1" s="1"/>
  <c r="L373" i="1" s="1"/>
  <c r="L404" i="1" s="1"/>
  <c r="L435" i="1" s="1"/>
  <c r="L479" i="1" s="1"/>
  <c r="H227" i="1"/>
  <c r="H236" i="1" s="1"/>
  <c r="M127" i="1"/>
  <c r="M171" i="1" s="1"/>
  <c r="M188" i="1" s="1"/>
  <c r="M214" i="1" s="1"/>
  <c r="M225" i="1" s="1"/>
  <c r="M234" i="1" s="1"/>
  <c r="L206" i="1"/>
  <c r="L40" i="1" s="1"/>
  <c r="L82" i="1"/>
  <c r="L177" i="1"/>
  <c r="L178" i="1"/>
  <c r="L183" i="1" s="1"/>
  <c r="L10" i="1" s="1"/>
  <c r="P394" i="1"/>
  <c r="P396" i="1" s="1"/>
  <c r="P399" i="1" s="1"/>
  <c r="O399" i="1"/>
  <c r="N164" i="1"/>
  <c r="N5" i="1"/>
  <c r="N7" i="1" s="1"/>
  <c r="M191" i="1"/>
  <c r="M200" i="1" s="1"/>
  <c r="M176" i="1"/>
  <c r="O162" i="1"/>
  <c r="P162" i="1"/>
  <c r="N31" i="1"/>
  <c r="N79" i="1" s="1"/>
  <c r="O3" i="1"/>
  <c r="O31" i="1" s="1"/>
  <c r="O79" i="1" s="1"/>
  <c r="N531" i="1" l="1"/>
  <c r="N516" i="1"/>
  <c r="N388" i="1"/>
  <c r="N391" i="1" s="1"/>
  <c r="M583" i="1"/>
  <c r="M556" i="1"/>
  <c r="M91" i="1" s="1"/>
  <c r="M44" i="1" s="1"/>
  <c r="M552" i="1"/>
  <c r="M84" i="1" s="1"/>
  <c r="M43" i="1" s="1"/>
  <c r="K343" i="1"/>
  <c r="K301" i="1"/>
  <c r="K280" i="1"/>
  <c r="L277" i="1" s="1"/>
  <c r="K582" i="1"/>
  <c r="K576" i="1"/>
  <c r="L267" i="1"/>
  <c r="L49" i="1"/>
  <c r="L575" i="1" s="1"/>
  <c r="L278" i="1"/>
  <c r="M597" i="1"/>
  <c r="M63" i="1" s="1"/>
  <c r="M600" i="1"/>
  <c r="M53" i="1" s="1"/>
  <c r="M594" i="1"/>
  <c r="M39" i="1" s="1"/>
  <c r="M495" i="1"/>
  <c r="M503" i="1" s="1"/>
  <c r="M257" i="1"/>
  <c r="M216" i="1"/>
  <c r="N545" i="1"/>
  <c r="M10" i="3"/>
  <c r="N536" i="1"/>
  <c r="K11" i="1"/>
  <c r="K546" i="1"/>
  <c r="K559" i="1" s="1"/>
  <c r="K97" i="1" s="1"/>
  <c r="K45" i="1" s="1"/>
  <c r="L606" i="1"/>
  <c r="L651" i="1" s="1"/>
  <c r="L510" i="1"/>
  <c r="L543" i="1" s="1"/>
  <c r="K201" i="1"/>
  <c r="K202" i="1"/>
  <c r="H228" i="1"/>
  <c r="H237" i="1" s="1"/>
  <c r="M255" i="1"/>
  <c r="M289" i="1" s="1"/>
  <c r="M331" i="1" s="1"/>
  <c r="M373" i="1" s="1"/>
  <c r="M404" i="1" s="1"/>
  <c r="M435" i="1" s="1"/>
  <c r="M479" i="1" s="1"/>
  <c r="N127" i="1"/>
  <c r="N171" i="1" s="1"/>
  <c r="N188" i="1" s="1"/>
  <c r="N214" i="1" s="1"/>
  <c r="N225" i="1" s="1"/>
  <c r="N234" i="1" s="1"/>
  <c r="O127" i="1"/>
  <c r="O171" i="1" s="1"/>
  <c r="O188" i="1" s="1"/>
  <c r="O214" i="1" s="1"/>
  <c r="O225" i="1" s="1"/>
  <c r="O234" i="1" s="1"/>
  <c r="M206" i="1"/>
  <c r="M40" i="1" s="1"/>
  <c r="M82" i="1"/>
  <c r="L192" i="1"/>
  <c r="L182" i="1"/>
  <c r="L9" i="1" s="1"/>
  <c r="N176" i="1"/>
  <c r="N191" i="1"/>
  <c r="N200" i="1" s="1"/>
  <c r="M177" i="1"/>
  <c r="M178" i="1"/>
  <c r="M183" i="1" s="1"/>
  <c r="M10" i="1" s="1"/>
  <c r="O164" i="1"/>
  <c r="O5" i="1"/>
  <c r="O7" i="1" s="1"/>
  <c r="P164" i="1"/>
  <c r="P5" i="1"/>
  <c r="P7" i="1" s="1"/>
  <c r="O10" i="3" s="1"/>
  <c r="N102" i="1" l="1"/>
  <c r="O527" i="1"/>
  <c r="O386" i="1"/>
  <c r="N101" i="1"/>
  <c r="N567" i="1" s="1"/>
  <c r="N583" i="1"/>
  <c r="N552" i="1"/>
  <c r="N84" i="1" s="1"/>
  <c r="N43" i="1" s="1"/>
  <c r="N556" i="1"/>
  <c r="N91" i="1" s="1"/>
  <c r="N44" i="1" s="1"/>
  <c r="L279" i="1"/>
  <c r="L280" i="1" s="1"/>
  <c r="M277" i="1" s="1"/>
  <c r="K268" i="1"/>
  <c r="K50" i="1"/>
  <c r="K54" i="1" s="1"/>
  <c r="K409" i="1" s="1"/>
  <c r="L582" i="1"/>
  <c r="L576" i="1"/>
  <c r="M267" i="1"/>
  <c r="M49" i="1"/>
  <c r="M575" i="1" s="1"/>
  <c r="M278" i="1"/>
  <c r="N597" i="1"/>
  <c r="N63" i="1" s="1"/>
  <c r="N594" i="1"/>
  <c r="N39" i="1" s="1"/>
  <c r="N600" i="1"/>
  <c r="N53" i="1" s="1"/>
  <c r="N216" i="1"/>
  <c r="N495" i="1"/>
  <c r="N503" i="1" s="1"/>
  <c r="N257" i="1"/>
  <c r="O545" i="1"/>
  <c r="N10" i="3"/>
  <c r="P216" i="1"/>
  <c r="P257" i="1"/>
  <c r="P489" i="1"/>
  <c r="P502" i="1" s="1"/>
  <c r="P495" i="1"/>
  <c r="P503" i="1" s="1"/>
  <c r="N428" i="1"/>
  <c r="N538" i="1"/>
  <c r="I237" i="1"/>
  <c r="J237" i="1" s="1"/>
  <c r="K237" i="1" s="1"/>
  <c r="K488" i="1"/>
  <c r="K500" i="1" s="1"/>
  <c r="K333" i="1"/>
  <c r="K341" i="1" s="1"/>
  <c r="L11" i="1"/>
  <c r="L546" i="1"/>
  <c r="L559" i="1" s="1"/>
  <c r="L97" i="1" s="1"/>
  <c r="L45" i="1" s="1"/>
  <c r="M606" i="1"/>
  <c r="M651" i="1" s="1"/>
  <c r="M510" i="1"/>
  <c r="M543" i="1" s="1"/>
  <c r="K83" i="1"/>
  <c r="K207" i="1"/>
  <c r="K208" i="1"/>
  <c r="K42" i="1" s="1"/>
  <c r="K96" i="1"/>
  <c r="O255" i="1"/>
  <c r="O289" i="1" s="1"/>
  <c r="O331" i="1" s="1"/>
  <c r="O373" i="1" s="1"/>
  <c r="O404" i="1" s="1"/>
  <c r="O435" i="1" s="1"/>
  <c r="O479" i="1" s="1"/>
  <c r="H230" i="1"/>
  <c r="H239" i="1" s="1"/>
  <c r="N255" i="1"/>
  <c r="N289" i="1" s="1"/>
  <c r="N331" i="1" s="1"/>
  <c r="N373" i="1" s="1"/>
  <c r="N404" i="1" s="1"/>
  <c r="N435" i="1" s="1"/>
  <c r="N479" i="1" s="1"/>
  <c r="H229" i="1"/>
  <c r="H238" i="1" s="1"/>
  <c r="I236" i="1"/>
  <c r="J236" i="1" s="1"/>
  <c r="K236" i="1" s="1"/>
  <c r="I235" i="1"/>
  <c r="J235" i="1" s="1"/>
  <c r="K235" i="1" s="1"/>
  <c r="N206" i="1"/>
  <c r="N40" i="1" s="1"/>
  <c r="N82" i="1"/>
  <c r="L201" i="1"/>
  <c r="L202" i="1"/>
  <c r="N177" i="1"/>
  <c r="N178" i="1"/>
  <c r="N183" i="1" s="1"/>
  <c r="N10" i="1" s="1"/>
  <c r="M182" i="1"/>
  <c r="M9" i="1" s="1"/>
  <c r="M192" i="1"/>
  <c r="O191" i="1"/>
  <c r="O200" i="1" s="1"/>
  <c r="O82" i="1" s="1"/>
  <c r="O176" i="1"/>
  <c r="P176" i="1"/>
  <c r="P191" i="1"/>
  <c r="P200" i="1" s="1"/>
  <c r="O529" i="1" l="1"/>
  <c r="O516" i="1" s="1"/>
  <c r="O388" i="1"/>
  <c r="O391" i="1" s="1"/>
  <c r="O583" i="1"/>
  <c r="O552" i="1"/>
  <c r="O84" i="1" s="1"/>
  <c r="O43" i="1" s="1"/>
  <c r="O556" i="1"/>
  <c r="O91" i="1" s="1"/>
  <c r="O44" i="1" s="1"/>
  <c r="M279" i="1"/>
  <c r="M280" i="1" s="1"/>
  <c r="N277" i="1" s="1"/>
  <c r="L301" i="1"/>
  <c r="L343" i="1"/>
  <c r="L268" i="1"/>
  <c r="L50" i="1"/>
  <c r="L54" i="1" s="1"/>
  <c r="L409" i="1" s="1"/>
  <c r="M582" i="1"/>
  <c r="M576" i="1"/>
  <c r="N267" i="1"/>
  <c r="N49" i="1"/>
  <c r="N575" i="1" s="1"/>
  <c r="N278" i="1"/>
  <c r="O600" i="1"/>
  <c r="O53" i="1" s="1"/>
  <c r="O594" i="1"/>
  <c r="O39" i="1" s="1"/>
  <c r="O597" i="1"/>
  <c r="O63" i="1" s="1"/>
  <c r="O216" i="1"/>
  <c r="I239" i="1" s="1"/>
  <c r="J239" i="1" s="1"/>
  <c r="K239" i="1" s="1"/>
  <c r="O495" i="1"/>
  <c r="O503" i="1" s="1"/>
  <c r="O257" i="1"/>
  <c r="I238" i="1"/>
  <c r="J238" i="1" s="1"/>
  <c r="K238" i="1" s="1"/>
  <c r="N14" i="1"/>
  <c r="N103" i="1"/>
  <c r="O534" i="1"/>
  <c r="K364" i="1"/>
  <c r="K355" i="1"/>
  <c r="L488" i="1"/>
  <c r="L500" i="1" s="1"/>
  <c r="L333" i="1"/>
  <c r="L341" i="1" s="1"/>
  <c r="M11" i="1"/>
  <c r="M333" i="1" s="1"/>
  <c r="M341" i="1" s="1"/>
  <c r="M546" i="1"/>
  <c r="M559" i="1" s="1"/>
  <c r="M97" i="1" s="1"/>
  <c r="M45" i="1" s="1"/>
  <c r="O606" i="1"/>
  <c r="O651" i="1" s="1"/>
  <c r="O510" i="1"/>
  <c r="O543" i="1" s="1"/>
  <c r="N606" i="1"/>
  <c r="N651" i="1" s="1"/>
  <c r="N510" i="1"/>
  <c r="N543" i="1" s="1"/>
  <c r="K209" i="1"/>
  <c r="K41" i="1"/>
  <c r="L207" i="1"/>
  <c r="L41" i="1" s="1"/>
  <c r="L83" i="1"/>
  <c r="L208" i="1"/>
  <c r="L42" i="1" s="1"/>
  <c r="L96" i="1"/>
  <c r="N192" i="1"/>
  <c r="N182" i="1"/>
  <c r="N9" i="1" s="1"/>
  <c r="M202" i="1"/>
  <c r="M201" i="1"/>
  <c r="M83" i="1" s="1"/>
  <c r="P177" i="1"/>
  <c r="P178" i="1"/>
  <c r="P183" i="1" s="1"/>
  <c r="P10" i="1" s="1"/>
  <c r="P206" i="1"/>
  <c r="O206" i="1"/>
  <c r="O40" i="1" s="1"/>
  <c r="O177" i="1"/>
  <c r="O178" i="1"/>
  <c r="O183" i="1" s="1"/>
  <c r="O10" i="1" s="1"/>
  <c r="O531" i="1" l="1"/>
  <c r="O102" i="1" s="1"/>
  <c r="K496" i="1"/>
  <c r="K504" i="1" s="1"/>
  <c r="P386" i="1"/>
  <c r="P388" i="1" s="1"/>
  <c r="P391" i="1" s="1"/>
  <c r="O101" i="1"/>
  <c r="O567" i="1" s="1"/>
  <c r="K244" i="1"/>
  <c r="K245" i="1" s="1"/>
  <c r="K34" i="1" s="1"/>
  <c r="N279" i="1"/>
  <c r="N280" i="1" s="1"/>
  <c r="O277" i="1" s="1"/>
  <c r="M301" i="1"/>
  <c r="M343" i="1"/>
  <c r="M50" i="1"/>
  <c r="M54" i="1" s="1"/>
  <c r="M409" i="1" s="1"/>
  <c r="M268" i="1"/>
  <c r="N582" i="1"/>
  <c r="N576" i="1"/>
  <c r="O267" i="1"/>
  <c r="O278" i="1"/>
  <c r="O49" i="1"/>
  <c r="O575" i="1" s="1"/>
  <c r="O536" i="1"/>
  <c r="L355" i="1"/>
  <c r="L364" i="1"/>
  <c r="M488" i="1"/>
  <c r="M500" i="1" s="1"/>
  <c r="N11" i="1"/>
  <c r="N488" i="1" s="1"/>
  <c r="N500" i="1" s="1"/>
  <c r="N546" i="1"/>
  <c r="N559" i="1" s="1"/>
  <c r="N97" i="1" s="1"/>
  <c r="N45" i="1" s="1"/>
  <c r="L209" i="1"/>
  <c r="M208" i="1"/>
  <c r="M42" i="1" s="1"/>
  <c r="M96" i="1"/>
  <c r="N201" i="1"/>
  <c r="N202" i="1"/>
  <c r="M364" i="1"/>
  <c r="M355" i="1"/>
  <c r="P192" i="1"/>
  <c r="P182" i="1"/>
  <c r="P9" i="1" s="1"/>
  <c r="P11" i="1" s="1"/>
  <c r="P333" i="1" s="1"/>
  <c r="P341" i="1" s="1"/>
  <c r="M207" i="1"/>
  <c r="O182" i="1"/>
  <c r="O9" i="1" s="1"/>
  <c r="O192" i="1"/>
  <c r="P364" i="1" l="1"/>
  <c r="P344" i="1"/>
  <c r="P348" i="1" s="1"/>
  <c r="L496" i="1"/>
  <c r="L504" i="1" s="1"/>
  <c r="K342" i="1"/>
  <c r="K344" i="1" s="1"/>
  <c r="K348" i="1" s="1"/>
  <c r="K334" i="1" s="1"/>
  <c r="K356" i="1" s="1"/>
  <c r="K489" i="1"/>
  <c r="K269" i="1"/>
  <c r="K270" i="1" s="1"/>
  <c r="K300" i="1"/>
  <c r="O279" i="1"/>
  <c r="O280" i="1" s="1"/>
  <c r="N301" i="1"/>
  <c r="N343" i="1"/>
  <c r="N268" i="1"/>
  <c r="N50" i="1"/>
  <c r="N54" i="1" s="1"/>
  <c r="N409" i="1" s="1"/>
  <c r="O582" i="1"/>
  <c r="O576" i="1"/>
  <c r="O428" i="1"/>
  <c r="O538" i="1"/>
  <c r="O103" i="1" s="1"/>
  <c r="N333" i="1"/>
  <c r="N341" i="1" s="1"/>
  <c r="O11" i="1"/>
  <c r="O546" i="1"/>
  <c r="O559" i="1" s="1"/>
  <c r="O97" i="1" s="1"/>
  <c r="O45" i="1" s="1"/>
  <c r="N207" i="1"/>
  <c r="N83" i="1"/>
  <c r="N208" i="1"/>
  <c r="N42" i="1" s="1"/>
  <c r="N96" i="1"/>
  <c r="P488" i="1"/>
  <c r="G482" i="1"/>
  <c r="P482" i="1" s="1"/>
  <c r="P201" i="1"/>
  <c r="P202" i="1"/>
  <c r="M209" i="1"/>
  <c r="M41" i="1"/>
  <c r="O201" i="1"/>
  <c r="O83" i="1" s="1"/>
  <c r="O202" i="1"/>
  <c r="O96" i="1" s="1"/>
  <c r="P334" i="1" l="1"/>
  <c r="P350" i="1"/>
  <c r="P362" i="1" s="1"/>
  <c r="P363" i="1" s="1"/>
  <c r="M496" i="1"/>
  <c r="M504" i="1" s="1"/>
  <c r="K349" i="1"/>
  <c r="K350" i="1" s="1"/>
  <c r="K357" i="1"/>
  <c r="L354" i="1" s="1"/>
  <c r="K490" i="1"/>
  <c r="K493" i="1" s="1"/>
  <c r="K502" i="1"/>
  <c r="K87" i="1"/>
  <c r="L266" i="1"/>
  <c r="K273" i="1"/>
  <c r="O301" i="1"/>
  <c r="O343" i="1"/>
  <c r="O268" i="1"/>
  <c r="O50" i="1"/>
  <c r="O54" i="1" s="1"/>
  <c r="O409" i="1" s="1"/>
  <c r="O14" i="1"/>
  <c r="N364" i="1"/>
  <c r="N355" i="1"/>
  <c r="O488" i="1"/>
  <c r="O500" i="1" s="1"/>
  <c r="O333" i="1"/>
  <c r="O341" i="1" s="1"/>
  <c r="N41" i="1"/>
  <c r="N209" i="1"/>
  <c r="P500" i="1"/>
  <c r="P490" i="1"/>
  <c r="P493" i="1" s="1"/>
  <c r="P660" i="1" s="1"/>
  <c r="P494" i="1"/>
  <c r="P501" i="1"/>
  <c r="O207" i="1"/>
  <c r="P207" i="1"/>
  <c r="P208" i="1"/>
  <c r="O208" i="1"/>
  <c r="O42" i="1" s="1"/>
  <c r="N496" i="1" l="1"/>
  <c r="N504" i="1" s="1"/>
  <c r="P664" i="1"/>
  <c r="P671" i="1" s="1"/>
  <c r="P678" i="1" s="1"/>
  <c r="P684" i="1" s="1"/>
  <c r="K362" i="1"/>
  <c r="O355" i="1"/>
  <c r="O364" i="1"/>
  <c r="P209" i="1"/>
  <c r="P496" i="1" s="1"/>
  <c r="O41" i="1"/>
  <c r="O209" i="1"/>
  <c r="O496" i="1" l="1"/>
  <c r="O504" i="1" s="1"/>
  <c r="K363" i="1"/>
  <c r="K482" i="1"/>
  <c r="P504" i="1"/>
  <c r="P505" i="1" s="1"/>
  <c r="P613" i="1" s="1"/>
  <c r="P497" i="1"/>
  <c r="O618" i="1" l="1"/>
  <c r="O625" i="1" s="1"/>
  <c r="O632" i="1" s="1"/>
  <c r="O639" i="1" s="1"/>
  <c r="P659" i="1"/>
  <c r="K494" i="1"/>
  <c r="K497" i="1" s="1"/>
  <c r="K459" i="1" s="1"/>
  <c r="K501" i="1"/>
  <c r="K505" i="1" s="1"/>
  <c r="K613" i="1" s="1"/>
  <c r="K617" i="1" l="1"/>
  <c r="K659" i="1"/>
  <c r="K663" i="1" s="1"/>
  <c r="K670" i="1" s="1"/>
  <c r="K677" i="1" s="1"/>
  <c r="K619" i="1" l="1"/>
  <c r="K624" i="1"/>
  <c r="K626" i="1" s="1"/>
  <c r="K665" i="1"/>
  <c r="K679" i="1"/>
  <c r="K672" i="1"/>
  <c r="K631" i="1" l="1"/>
  <c r="K633" i="1" s="1"/>
  <c r="L236" i="1" l="1"/>
  <c r="L237" i="1"/>
  <c r="M237" i="1"/>
  <c r="L238" i="1"/>
  <c r="M238" i="1"/>
  <c r="N238" i="1"/>
  <c r="L239" i="1"/>
  <c r="M239" i="1"/>
  <c r="N239" i="1"/>
  <c r="O239" i="1"/>
  <c r="P663" i="1" l="1"/>
  <c r="P670" i="1" s="1"/>
  <c r="P677" i="1" s="1"/>
  <c r="P679" i="1" s="1"/>
  <c r="P672" i="1" l="1"/>
  <c r="P665" i="1"/>
  <c r="C110" i="3" l="1"/>
  <c r="L13" i="1"/>
  <c r="M13" i="1"/>
  <c r="N13" i="1"/>
  <c r="O13" i="1"/>
  <c r="P13" i="1"/>
  <c r="K15" i="1"/>
  <c r="L15" i="1"/>
  <c r="M15" i="1"/>
  <c r="N15" i="1"/>
  <c r="O15" i="1"/>
  <c r="P15" i="1"/>
  <c r="K16" i="1"/>
  <c r="L16" i="1"/>
  <c r="M16" i="1"/>
  <c r="N16" i="1"/>
  <c r="O16" i="1"/>
  <c r="P16" i="1"/>
  <c r="K20" i="1"/>
  <c r="L20" i="1"/>
  <c r="M20" i="1"/>
  <c r="N20" i="1"/>
  <c r="O20" i="1"/>
  <c r="P20" i="1"/>
  <c r="K22" i="1"/>
  <c r="L22" i="1"/>
  <c r="M22" i="1"/>
  <c r="N22" i="1"/>
  <c r="O22" i="1"/>
  <c r="P22" i="1"/>
  <c r="K23" i="1"/>
  <c r="L23" i="1"/>
  <c r="M23" i="1"/>
  <c r="N23" i="1"/>
  <c r="O23" i="1"/>
  <c r="P23" i="1"/>
  <c r="K26" i="1"/>
  <c r="L26" i="1"/>
  <c r="M26" i="1"/>
  <c r="N26" i="1"/>
  <c r="O26" i="1"/>
  <c r="P26" i="1"/>
  <c r="K33" i="1"/>
  <c r="L33" i="1"/>
  <c r="M33" i="1"/>
  <c r="N33" i="1"/>
  <c r="O33" i="1"/>
  <c r="L34" i="1"/>
  <c r="M34" i="1"/>
  <c r="N34" i="1"/>
  <c r="O34" i="1"/>
  <c r="K37" i="1"/>
  <c r="L37" i="1"/>
  <c r="M37" i="1"/>
  <c r="N37" i="1"/>
  <c r="O37" i="1"/>
  <c r="K46" i="1"/>
  <c r="L46" i="1"/>
  <c r="M46" i="1"/>
  <c r="N46" i="1"/>
  <c r="O46" i="1"/>
  <c r="K47" i="1"/>
  <c r="L47" i="1"/>
  <c r="M47" i="1"/>
  <c r="N47" i="1"/>
  <c r="O47" i="1"/>
  <c r="K60" i="1"/>
  <c r="L60" i="1"/>
  <c r="M60" i="1"/>
  <c r="N60" i="1"/>
  <c r="O60" i="1"/>
  <c r="K61" i="1"/>
  <c r="L61" i="1"/>
  <c r="M61" i="1"/>
  <c r="N61" i="1"/>
  <c r="O61" i="1"/>
  <c r="K64" i="1"/>
  <c r="L64" i="1"/>
  <c r="M64" i="1"/>
  <c r="N64" i="1"/>
  <c r="O64" i="1"/>
  <c r="L69" i="1"/>
  <c r="M69" i="1"/>
  <c r="N69" i="1"/>
  <c r="O69" i="1"/>
  <c r="K70" i="1"/>
  <c r="L70" i="1"/>
  <c r="M70" i="1"/>
  <c r="N70" i="1"/>
  <c r="O70" i="1"/>
  <c r="K71" i="1"/>
  <c r="L71" i="1"/>
  <c r="M71" i="1"/>
  <c r="N71" i="1"/>
  <c r="O71" i="1"/>
  <c r="K81" i="1"/>
  <c r="L81" i="1"/>
  <c r="M81" i="1"/>
  <c r="N81" i="1"/>
  <c r="O81" i="1"/>
  <c r="L87" i="1"/>
  <c r="M87" i="1"/>
  <c r="N87" i="1"/>
  <c r="O87" i="1"/>
  <c r="K92" i="1"/>
  <c r="L92" i="1"/>
  <c r="M92" i="1"/>
  <c r="N92" i="1"/>
  <c r="O92" i="1"/>
  <c r="K98" i="1"/>
  <c r="L98" i="1"/>
  <c r="M98" i="1"/>
  <c r="N98" i="1"/>
  <c r="O98" i="1"/>
  <c r="K99" i="1"/>
  <c r="L99" i="1"/>
  <c r="M99" i="1"/>
  <c r="N99" i="1"/>
  <c r="O99" i="1"/>
  <c r="K104" i="1"/>
  <c r="L104" i="1"/>
  <c r="M104" i="1"/>
  <c r="N104" i="1"/>
  <c r="O104" i="1"/>
  <c r="K105" i="1"/>
  <c r="L105" i="1"/>
  <c r="M105" i="1"/>
  <c r="N105" i="1"/>
  <c r="O105" i="1"/>
  <c r="K114" i="1"/>
  <c r="L114" i="1"/>
  <c r="M114" i="1"/>
  <c r="N114" i="1"/>
  <c r="O114" i="1"/>
  <c r="K116" i="1"/>
  <c r="L116" i="1"/>
  <c r="M116" i="1"/>
  <c r="N116" i="1"/>
  <c r="O116" i="1"/>
  <c r="K118" i="1"/>
  <c r="L118" i="1"/>
  <c r="M118" i="1"/>
  <c r="N118" i="1"/>
  <c r="O118" i="1"/>
  <c r="K120" i="1"/>
  <c r="L120" i="1"/>
  <c r="M120" i="1"/>
  <c r="N120" i="1"/>
  <c r="O120" i="1"/>
  <c r="K122" i="1"/>
  <c r="L122" i="1"/>
  <c r="M122" i="1"/>
  <c r="N122" i="1"/>
  <c r="O122" i="1"/>
  <c r="L226" i="1"/>
  <c r="M226" i="1"/>
  <c r="N226" i="1"/>
  <c r="O226" i="1"/>
  <c r="M227" i="1"/>
  <c r="N227" i="1"/>
  <c r="O227" i="1"/>
  <c r="N228" i="1"/>
  <c r="O228" i="1"/>
  <c r="O229" i="1"/>
  <c r="L235" i="1"/>
  <c r="M235" i="1"/>
  <c r="N235" i="1"/>
  <c r="O235" i="1"/>
  <c r="M236" i="1"/>
  <c r="N236" i="1"/>
  <c r="O236" i="1"/>
  <c r="N237" i="1"/>
  <c r="O237" i="1"/>
  <c r="O238" i="1"/>
  <c r="L244" i="1"/>
  <c r="M244" i="1"/>
  <c r="N244" i="1"/>
  <c r="O244" i="1"/>
  <c r="L245" i="1"/>
  <c r="M245" i="1"/>
  <c r="N245" i="1"/>
  <c r="O245" i="1"/>
  <c r="M266" i="1"/>
  <c r="N266" i="1"/>
  <c r="O266" i="1"/>
  <c r="L269" i="1"/>
  <c r="M269" i="1"/>
  <c r="N269" i="1"/>
  <c r="O269" i="1"/>
  <c r="L270" i="1"/>
  <c r="M270" i="1"/>
  <c r="N270" i="1"/>
  <c r="O270" i="1"/>
  <c r="L273" i="1"/>
  <c r="M273" i="1"/>
  <c r="N273" i="1"/>
  <c r="O273" i="1"/>
  <c r="K291" i="1"/>
  <c r="L291" i="1"/>
  <c r="M291" i="1"/>
  <c r="N291" i="1"/>
  <c r="O291" i="1"/>
  <c r="P291" i="1"/>
  <c r="K292" i="1"/>
  <c r="L292" i="1"/>
  <c r="M292" i="1"/>
  <c r="N292" i="1"/>
  <c r="O292" i="1"/>
  <c r="P292" i="1"/>
  <c r="D295" i="1"/>
  <c r="K299" i="1"/>
  <c r="L299" i="1"/>
  <c r="M299" i="1"/>
  <c r="N299" i="1"/>
  <c r="O299" i="1"/>
  <c r="P299" i="1"/>
  <c r="L300" i="1"/>
  <c r="M300" i="1"/>
  <c r="N300" i="1"/>
  <c r="O300" i="1"/>
  <c r="K302" i="1"/>
  <c r="L302" i="1"/>
  <c r="M302" i="1"/>
  <c r="N302" i="1"/>
  <c r="O302" i="1"/>
  <c r="P302" i="1"/>
  <c r="K306" i="1"/>
  <c r="L306" i="1"/>
  <c r="M306" i="1"/>
  <c r="N306" i="1"/>
  <c r="O306" i="1"/>
  <c r="P306" i="1"/>
  <c r="K307" i="1"/>
  <c r="L307" i="1"/>
  <c r="M307" i="1"/>
  <c r="N307" i="1"/>
  <c r="O307" i="1"/>
  <c r="K308" i="1"/>
  <c r="L308" i="1"/>
  <c r="M308" i="1"/>
  <c r="N308" i="1"/>
  <c r="O308" i="1"/>
  <c r="P308" i="1"/>
  <c r="L312" i="1"/>
  <c r="M312" i="1"/>
  <c r="N312" i="1"/>
  <c r="O312" i="1"/>
  <c r="K313" i="1"/>
  <c r="L313" i="1"/>
  <c r="M313" i="1"/>
  <c r="N313" i="1"/>
  <c r="O313" i="1"/>
  <c r="K314" i="1"/>
  <c r="L314" i="1"/>
  <c r="M314" i="1"/>
  <c r="N314" i="1"/>
  <c r="O314" i="1"/>
  <c r="K315" i="1"/>
  <c r="L315" i="1"/>
  <c r="M315" i="1"/>
  <c r="N315" i="1"/>
  <c r="O315" i="1"/>
  <c r="K320" i="1"/>
  <c r="L320" i="1"/>
  <c r="M320" i="1"/>
  <c r="N320" i="1"/>
  <c r="O320" i="1"/>
  <c r="P320" i="1"/>
  <c r="K321" i="1"/>
  <c r="L321" i="1"/>
  <c r="M321" i="1"/>
  <c r="N321" i="1"/>
  <c r="O321" i="1"/>
  <c r="P321" i="1"/>
  <c r="K322" i="1"/>
  <c r="L322" i="1"/>
  <c r="M322" i="1"/>
  <c r="N322" i="1"/>
  <c r="O322" i="1"/>
  <c r="P322" i="1"/>
  <c r="L334" i="1"/>
  <c r="M334" i="1"/>
  <c r="N334" i="1"/>
  <c r="O334" i="1"/>
  <c r="D337" i="1"/>
  <c r="L342" i="1"/>
  <c r="M342" i="1"/>
  <c r="N342" i="1"/>
  <c r="O342" i="1"/>
  <c r="L344" i="1"/>
  <c r="M344" i="1"/>
  <c r="N344" i="1"/>
  <c r="O344" i="1"/>
  <c r="L348" i="1"/>
  <c r="M348" i="1"/>
  <c r="N348" i="1"/>
  <c r="O348" i="1"/>
  <c r="L349" i="1"/>
  <c r="M349" i="1"/>
  <c r="N349" i="1"/>
  <c r="O349" i="1"/>
  <c r="L350" i="1"/>
  <c r="M350" i="1"/>
  <c r="N350" i="1"/>
  <c r="O350" i="1"/>
  <c r="M354" i="1"/>
  <c r="N354" i="1"/>
  <c r="O354" i="1"/>
  <c r="L356" i="1"/>
  <c r="M356" i="1"/>
  <c r="N356" i="1"/>
  <c r="O356" i="1"/>
  <c r="L357" i="1"/>
  <c r="M357" i="1"/>
  <c r="N357" i="1"/>
  <c r="O357" i="1"/>
  <c r="L362" i="1"/>
  <c r="M362" i="1"/>
  <c r="N362" i="1"/>
  <c r="O362" i="1"/>
  <c r="L363" i="1"/>
  <c r="M363" i="1"/>
  <c r="N363" i="1"/>
  <c r="O363" i="1"/>
  <c r="L376" i="1"/>
  <c r="M376" i="1"/>
  <c r="N376" i="1"/>
  <c r="O376" i="1"/>
  <c r="P376" i="1"/>
  <c r="K377" i="1"/>
  <c r="L377" i="1"/>
  <c r="M377" i="1"/>
  <c r="N377" i="1"/>
  <c r="O377" i="1"/>
  <c r="K378" i="1"/>
  <c r="L378" i="1"/>
  <c r="M378" i="1"/>
  <c r="N378" i="1"/>
  <c r="O378" i="1"/>
  <c r="P378" i="1"/>
  <c r="K381" i="1"/>
  <c r="L381" i="1"/>
  <c r="M381" i="1"/>
  <c r="N381" i="1"/>
  <c r="O381" i="1"/>
  <c r="P381" i="1"/>
  <c r="K407" i="1"/>
  <c r="L407" i="1"/>
  <c r="M407" i="1"/>
  <c r="N407" i="1"/>
  <c r="O407" i="1"/>
  <c r="K408" i="1"/>
  <c r="L408" i="1"/>
  <c r="M408" i="1"/>
  <c r="N408" i="1"/>
  <c r="O408" i="1"/>
  <c r="K412" i="1"/>
  <c r="L412" i="1"/>
  <c r="M412" i="1"/>
  <c r="N412" i="1"/>
  <c r="O412" i="1"/>
  <c r="K413" i="1"/>
  <c r="L413" i="1"/>
  <c r="M413" i="1"/>
  <c r="N413" i="1"/>
  <c r="O413" i="1"/>
  <c r="L418" i="1"/>
  <c r="M418" i="1"/>
  <c r="N418" i="1"/>
  <c r="O418" i="1"/>
  <c r="P418" i="1"/>
  <c r="K419" i="1"/>
  <c r="L419" i="1"/>
  <c r="M419" i="1"/>
  <c r="N419" i="1"/>
  <c r="O419" i="1"/>
  <c r="P419" i="1"/>
  <c r="K420" i="1"/>
  <c r="L420" i="1"/>
  <c r="M420" i="1"/>
  <c r="N420" i="1"/>
  <c r="O420" i="1"/>
  <c r="P420" i="1"/>
  <c r="L423" i="1"/>
  <c r="M423" i="1"/>
  <c r="N423" i="1"/>
  <c r="O423" i="1"/>
  <c r="P423" i="1"/>
  <c r="L427" i="1"/>
  <c r="M427" i="1"/>
  <c r="N427" i="1"/>
  <c r="O427" i="1"/>
  <c r="P427" i="1"/>
  <c r="K429" i="1"/>
  <c r="L429" i="1"/>
  <c r="M429" i="1"/>
  <c r="N429" i="1"/>
  <c r="O429" i="1"/>
  <c r="P429" i="1"/>
  <c r="K430" i="1"/>
  <c r="L430" i="1"/>
  <c r="M430" i="1"/>
  <c r="N430" i="1"/>
  <c r="O430" i="1"/>
  <c r="P430" i="1"/>
  <c r="K442" i="1"/>
  <c r="L442" i="1"/>
  <c r="M442" i="1"/>
  <c r="N442" i="1"/>
  <c r="O442" i="1"/>
  <c r="K444" i="1"/>
  <c r="L444" i="1"/>
  <c r="M444" i="1"/>
  <c r="N444" i="1"/>
  <c r="O444" i="1"/>
  <c r="L449" i="1"/>
  <c r="M449" i="1"/>
  <c r="N449" i="1"/>
  <c r="O449" i="1"/>
  <c r="K450" i="1"/>
  <c r="L450" i="1"/>
  <c r="M450" i="1"/>
  <c r="N450" i="1"/>
  <c r="O450" i="1"/>
  <c r="K451" i="1"/>
  <c r="L451" i="1"/>
  <c r="M451" i="1"/>
  <c r="N451" i="1"/>
  <c r="O451" i="1"/>
  <c r="K452" i="1"/>
  <c r="L452" i="1"/>
  <c r="M452" i="1"/>
  <c r="N452" i="1"/>
  <c r="O452" i="1"/>
  <c r="K453" i="1"/>
  <c r="L453" i="1"/>
  <c r="M453" i="1"/>
  <c r="N453" i="1"/>
  <c r="O453" i="1"/>
  <c r="L457" i="1"/>
  <c r="M457" i="1"/>
  <c r="N457" i="1"/>
  <c r="O457" i="1"/>
  <c r="L459" i="1"/>
  <c r="M459" i="1"/>
  <c r="N459" i="1"/>
  <c r="O459" i="1"/>
  <c r="K460" i="1"/>
  <c r="L460" i="1"/>
  <c r="M460" i="1"/>
  <c r="N460" i="1"/>
  <c r="O460" i="1"/>
  <c r="K461" i="1"/>
  <c r="L461" i="1"/>
  <c r="M461" i="1"/>
  <c r="N461" i="1"/>
  <c r="O461" i="1"/>
  <c r="K464" i="1"/>
  <c r="L464" i="1"/>
  <c r="M464" i="1"/>
  <c r="N464" i="1"/>
  <c r="O464" i="1"/>
  <c r="K465" i="1"/>
  <c r="L465" i="1"/>
  <c r="M465" i="1"/>
  <c r="N465" i="1"/>
  <c r="O465" i="1"/>
  <c r="K466" i="1"/>
  <c r="L466" i="1"/>
  <c r="M466" i="1"/>
  <c r="N466" i="1"/>
  <c r="O466" i="1"/>
  <c r="L482" i="1"/>
  <c r="M482" i="1"/>
  <c r="N482" i="1"/>
  <c r="O482" i="1"/>
  <c r="G483" i="1"/>
  <c r="K483" i="1"/>
  <c r="L483" i="1"/>
  <c r="M483" i="1"/>
  <c r="N483" i="1"/>
  <c r="O483" i="1"/>
  <c r="P483" i="1"/>
  <c r="K484" i="1"/>
  <c r="L484" i="1"/>
  <c r="M484" i="1"/>
  <c r="N484" i="1"/>
  <c r="O484" i="1"/>
  <c r="P484" i="1"/>
  <c r="L489" i="1"/>
  <c r="M489" i="1"/>
  <c r="N489" i="1"/>
  <c r="O489" i="1"/>
  <c r="L490" i="1"/>
  <c r="M490" i="1"/>
  <c r="N490" i="1"/>
  <c r="O490" i="1"/>
  <c r="L493" i="1"/>
  <c r="M493" i="1"/>
  <c r="N493" i="1"/>
  <c r="O493" i="1"/>
  <c r="L494" i="1"/>
  <c r="M494" i="1"/>
  <c r="N494" i="1"/>
  <c r="O494" i="1"/>
  <c r="L497" i="1"/>
  <c r="M497" i="1"/>
  <c r="N497" i="1"/>
  <c r="O497" i="1"/>
  <c r="L501" i="1"/>
  <c r="M501" i="1"/>
  <c r="N501" i="1"/>
  <c r="O501" i="1"/>
  <c r="L502" i="1"/>
  <c r="M502" i="1"/>
  <c r="N502" i="1"/>
  <c r="O502" i="1"/>
  <c r="L505" i="1"/>
  <c r="M505" i="1"/>
  <c r="N505" i="1"/>
  <c r="O505" i="1"/>
  <c r="K563" i="1"/>
  <c r="L563" i="1"/>
  <c r="M563" i="1"/>
  <c r="N563" i="1"/>
  <c r="O563" i="1"/>
  <c r="K564" i="1"/>
  <c r="L564" i="1"/>
  <c r="M564" i="1"/>
  <c r="N564" i="1"/>
  <c r="O564" i="1"/>
  <c r="K573" i="1"/>
  <c r="L573" i="1"/>
  <c r="M573" i="1"/>
  <c r="N573" i="1"/>
  <c r="O573" i="1"/>
  <c r="L613" i="1"/>
  <c r="M613" i="1"/>
  <c r="N613" i="1"/>
  <c r="O613" i="1"/>
  <c r="L617" i="1"/>
  <c r="M617" i="1"/>
  <c r="N617" i="1"/>
  <c r="O617" i="1"/>
  <c r="L619" i="1"/>
  <c r="M619" i="1"/>
  <c r="N619" i="1"/>
  <c r="O619" i="1"/>
  <c r="L624" i="1"/>
  <c r="M624" i="1"/>
  <c r="N624" i="1"/>
  <c r="O624" i="1"/>
  <c r="L626" i="1"/>
  <c r="M626" i="1"/>
  <c r="N626" i="1"/>
  <c r="O626" i="1"/>
  <c r="L631" i="1"/>
  <c r="M631" i="1"/>
  <c r="N631" i="1"/>
  <c r="O631" i="1"/>
  <c r="L633" i="1"/>
  <c r="M633" i="1"/>
  <c r="N633" i="1"/>
  <c r="O633" i="1"/>
  <c r="J638" i="1"/>
  <c r="N638" i="1"/>
  <c r="O638" i="1"/>
  <c r="J639" i="1"/>
  <c r="N639" i="1"/>
  <c r="N640" i="1"/>
  <c r="O640" i="1"/>
  <c r="J644" i="1"/>
  <c r="O644" i="1"/>
  <c r="J646" i="1"/>
  <c r="O646" i="1"/>
  <c r="L659" i="1"/>
  <c r="M659" i="1"/>
  <c r="N659" i="1"/>
  <c r="O659" i="1"/>
  <c r="L663" i="1"/>
  <c r="M663" i="1"/>
  <c r="N663" i="1"/>
  <c r="O663" i="1"/>
  <c r="L665" i="1"/>
  <c r="M665" i="1"/>
  <c r="N665" i="1"/>
  <c r="O665" i="1"/>
  <c r="L670" i="1"/>
  <c r="M670" i="1"/>
  <c r="N670" i="1"/>
  <c r="O670" i="1"/>
  <c r="L672" i="1"/>
  <c r="M672" i="1"/>
  <c r="N672" i="1"/>
  <c r="O672" i="1"/>
  <c r="L677" i="1"/>
  <c r="M677" i="1"/>
  <c r="N677" i="1"/>
  <c r="O677" i="1"/>
  <c r="L679" i="1"/>
  <c r="M679" i="1"/>
  <c r="N679" i="1"/>
  <c r="O679" i="1"/>
  <c r="J683" i="1"/>
  <c r="O683" i="1"/>
  <c r="P683" i="1"/>
  <c r="J684" i="1"/>
  <c r="O684" i="1"/>
  <c r="O685" i="1"/>
  <c r="P685" i="1"/>
  <c r="J689" i="1"/>
  <c r="P689" i="1"/>
  <c r="J691" i="1"/>
  <c r="P691" i="1"/>
  <c r="C709" i="1"/>
</calcChain>
</file>

<file path=xl/sharedStrings.xml><?xml version="1.0" encoding="utf-8"?>
<sst xmlns="http://schemas.openxmlformats.org/spreadsheetml/2006/main" count="979" uniqueCount="644">
  <si>
    <t>Term</t>
  </si>
  <si>
    <t>All figures in million $</t>
  </si>
  <si>
    <t>Revenue Schedule</t>
  </si>
  <si>
    <t>Balance Check</t>
  </si>
  <si>
    <t>Total Liabilities + Equity</t>
  </si>
  <si>
    <t>Total Equity</t>
  </si>
  <si>
    <t>Nonredeemable NCI</t>
  </si>
  <si>
    <t>Walmart Shareholders Equity</t>
  </si>
  <si>
    <t>Accumulated Other Comprehensive Loss</t>
  </si>
  <si>
    <t>Retained Earnings</t>
  </si>
  <si>
    <t>Capital in Excess of Par value</t>
  </si>
  <si>
    <t>Common Stock</t>
  </si>
  <si>
    <t xml:space="preserve">Equity: </t>
  </si>
  <si>
    <t>Redeemable NCI</t>
  </si>
  <si>
    <t>Other Items / Balancing Items</t>
  </si>
  <si>
    <t>Total Liabilities</t>
  </si>
  <si>
    <t>Deferred Tax and Other</t>
  </si>
  <si>
    <t>LT Finance lease Obligations</t>
  </si>
  <si>
    <t>LT Op Lease Obligations</t>
  </si>
  <si>
    <t>LT Debt</t>
  </si>
  <si>
    <t>Finance lease due within One year</t>
  </si>
  <si>
    <t>Op lease obligations due within one year</t>
  </si>
  <si>
    <t>LT debt due within one year</t>
  </si>
  <si>
    <t>Accrued Income Taxes</t>
  </si>
  <si>
    <t>Accrued liabilities</t>
  </si>
  <si>
    <t>Accounts Payable</t>
  </si>
  <si>
    <t>Short term Borrowings</t>
  </si>
  <si>
    <t>Liabilities:</t>
  </si>
  <si>
    <t>Total Assets</t>
  </si>
  <si>
    <t>Other assets</t>
  </si>
  <si>
    <t>Goodwill</t>
  </si>
  <si>
    <t>Finance lease assets</t>
  </si>
  <si>
    <t>Op. lease assets</t>
  </si>
  <si>
    <t>PP&amp;E</t>
  </si>
  <si>
    <t>Prepaid expenses and Other</t>
  </si>
  <si>
    <t>Inventory</t>
  </si>
  <si>
    <t>Account Receivables</t>
  </si>
  <si>
    <t>Cash &amp; Equivalents</t>
  </si>
  <si>
    <t>Assets:</t>
  </si>
  <si>
    <t>Balance Sheet</t>
  </si>
  <si>
    <t>Restricted cash</t>
  </si>
  <si>
    <t xml:space="preserve">since cfs cash has RC but BS cash does not </t>
  </si>
  <si>
    <t>Ending of the Year</t>
  </si>
  <si>
    <t>Increase/(Decrease)</t>
  </si>
  <si>
    <t>Beginning of the Year</t>
  </si>
  <si>
    <t>Cash Balance :</t>
  </si>
  <si>
    <t>FX rate effect</t>
  </si>
  <si>
    <t>Total cash Flow from Financing</t>
  </si>
  <si>
    <t>(+/-) Other Financing activities</t>
  </si>
  <si>
    <t>(-) Stock repurchse</t>
  </si>
  <si>
    <t>(-) Common Dividends</t>
  </si>
  <si>
    <t>(-) Premium paid to Extinguish Debt</t>
  </si>
  <si>
    <t>(-) Repyaments of Long term debt</t>
  </si>
  <si>
    <t>(+) Proceeds from issuance of Long term debt</t>
  </si>
  <si>
    <t>(+/-) Net change in Short term borrowings</t>
  </si>
  <si>
    <t>Cash Flow From Investing</t>
  </si>
  <si>
    <t>(-) Other Investing Activities</t>
  </si>
  <si>
    <t>(-) Payments to Acquisitions, net of cash aquired</t>
  </si>
  <si>
    <t>(+) Disposal Proceds from Strategic Divestitures</t>
  </si>
  <si>
    <t>(+) Disposal Proceeds of PP&amp;E</t>
  </si>
  <si>
    <t>(-) Net CapEx</t>
  </si>
  <si>
    <t>Cash Flow from Operations</t>
  </si>
  <si>
    <t>(+/-) Accrued Income Taxes</t>
  </si>
  <si>
    <t>(+/-) Accrued Liabilities</t>
  </si>
  <si>
    <t>(+/-) Change in Other assets</t>
  </si>
  <si>
    <t>(+/-) Change in Prepaid Expenses</t>
  </si>
  <si>
    <t>(+/-) Change in Accounts Payable</t>
  </si>
  <si>
    <t>(+/-) Change in Inventories</t>
  </si>
  <si>
    <t>(+/-) Change in Receivables, net</t>
  </si>
  <si>
    <t>(+/-) Other Operating items</t>
  </si>
  <si>
    <t>(+/-) Loss on Extinguishment of debt</t>
  </si>
  <si>
    <t xml:space="preserve">(+/-) Deferred Tax </t>
  </si>
  <si>
    <t>(+/-) losses on Disposal of business ops</t>
  </si>
  <si>
    <t>(+/-) Investment (gains) and losses</t>
  </si>
  <si>
    <t>(+) D&amp;A</t>
  </si>
  <si>
    <t>Consolidated Net Income</t>
  </si>
  <si>
    <t>Cash flow Statement</t>
  </si>
  <si>
    <t>Net income to parent</t>
  </si>
  <si>
    <t xml:space="preserve">Net Income to Controlling Interest </t>
  </si>
  <si>
    <t>Net Income</t>
  </si>
  <si>
    <t>Taxes</t>
  </si>
  <si>
    <t>Income before Income taxes</t>
  </si>
  <si>
    <t>Other gains/ (losses)</t>
  </si>
  <si>
    <t>loss on estinguishment of debt</t>
  </si>
  <si>
    <t>Net Interest</t>
  </si>
  <si>
    <t>Interest Income</t>
  </si>
  <si>
    <t>Interest Expense, Financial lease</t>
  </si>
  <si>
    <t>Interest Expense, Debt</t>
  </si>
  <si>
    <t>Operating Income</t>
  </si>
  <si>
    <t>SG&amp;A</t>
  </si>
  <si>
    <t>Cost of Sales</t>
  </si>
  <si>
    <t>Total Revenue</t>
  </si>
  <si>
    <t>Membership and Other Income</t>
  </si>
  <si>
    <t>Net sales</t>
  </si>
  <si>
    <t>Income Statement</t>
  </si>
  <si>
    <t xml:space="preserve"> </t>
  </si>
  <si>
    <t>Property and Equipment</t>
  </si>
  <si>
    <t>Estimated useful years</t>
  </si>
  <si>
    <t>(in years)</t>
  </si>
  <si>
    <t>Land</t>
  </si>
  <si>
    <t>N/A</t>
  </si>
  <si>
    <t>Buildings and improvements</t>
  </si>
  <si>
    <t>3 to 40</t>
  </si>
  <si>
    <t>Fixtures and Equipments</t>
  </si>
  <si>
    <t>2 to 30</t>
  </si>
  <si>
    <t>Transportation equipment</t>
  </si>
  <si>
    <t>3 to 15</t>
  </si>
  <si>
    <t>Construction in progress</t>
  </si>
  <si>
    <t xml:space="preserve">Accumulated depreciation </t>
  </si>
  <si>
    <t>PPE&amp;E, net</t>
  </si>
  <si>
    <t>Deferred Taxes</t>
  </si>
  <si>
    <t>(Amounts in millions)</t>
  </si>
  <si>
    <t>Deferred tax assets:</t>
  </si>
  <si>
    <t>Loss and tax credit carryforwards</t>
  </si>
  <si>
    <t>Share-based compensation</t>
  </si>
  <si>
    <t>Lease obligations</t>
  </si>
  <si>
    <t>Other</t>
  </si>
  <si>
    <t>Total deferred tax assets</t>
  </si>
  <si>
    <t>Valuation allowances</t>
  </si>
  <si>
    <t>Deferred tax assets, net of valuation allowances</t>
  </si>
  <si>
    <t>Deferred tax liabilities:</t>
  </si>
  <si>
    <t>Property and equipment</t>
  </si>
  <si>
    <t>Acquired intangibles</t>
  </si>
  <si>
    <t>Lease right of use assets</t>
  </si>
  <si>
    <t>Mark-to-market investments</t>
  </si>
  <si>
    <t>Total deferred tax liabilities</t>
  </si>
  <si>
    <t>Net deferred tax liabilities</t>
  </si>
  <si>
    <t>Short Term Borrowings and Long Term Debt</t>
  </si>
  <si>
    <t>Short-term borrowings consist of commercial paper and lines of credit.</t>
  </si>
  <si>
    <t>Short-term borrowings as of January 31, 2025 and 2024 were $3.1 billion and $0.9 billion, respectively, with weighted-average interest rates of 5.3% and 7.7%, respectively.</t>
  </si>
  <si>
    <t>committed line of credit in US to support Commercial Paper program</t>
  </si>
  <si>
    <t>Jan 31st 2024</t>
  </si>
  <si>
    <t>Jan 31st 2025</t>
  </si>
  <si>
    <t>Available</t>
  </si>
  <si>
    <t>drawn</t>
  </si>
  <si>
    <t>Undrawn</t>
  </si>
  <si>
    <t>Five year credit facility</t>
  </si>
  <si>
    <t>364- days revolving credit facility</t>
  </si>
  <si>
    <t>Total</t>
  </si>
  <si>
    <t>Long term debt</t>
  </si>
  <si>
    <t>Maturity dates by FY</t>
  </si>
  <si>
    <t>amount</t>
  </si>
  <si>
    <t>Avg rate</t>
  </si>
  <si>
    <t>Unsecured fixed rate debt</t>
  </si>
  <si>
    <t>Euro denominated</t>
  </si>
  <si>
    <t>2027 to 2030</t>
  </si>
  <si>
    <t>Sterling denominated</t>
  </si>
  <si>
    <t>2031 to 2039</t>
  </si>
  <si>
    <t>Yen denominated</t>
  </si>
  <si>
    <t>year 2028</t>
  </si>
  <si>
    <t>Total Unsecured fixed rate debt</t>
  </si>
  <si>
    <t>total other</t>
  </si>
  <si>
    <t>Total debt</t>
  </si>
  <si>
    <t>(-) amounts due within one year</t>
  </si>
  <si>
    <t>Annual maturities of long-term debt during the next five years and thereafter are as follows</t>
  </si>
  <si>
    <t xml:space="preserve"> (Amounts in millions) </t>
  </si>
  <si>
    <t>Annual Fiscal Year Maturties</t>
  </si>
  <si>
    <t>Thereafter</t>
  </si>
  <si>
    <t>Weighted average interest rate long term debt</t>
  </si>
  <si>
    <t>Debt issuances</t>
  </si>
  <si>
    <t>There were no long-term debt issuances in fiscal 2025. Information on significant long-term debt issued during fiscal 2024, for general corporate purposes</t>
  </si>
  <si>
    <t>Issue Date</t>
  </si>
  <si>
    <t>Princiapal amount</t>
  </si>
  <si>
    <t>maturity date</t>
  </si>
  <si>
    <t>Fixed vs Floating</t>
  </si>
  <si>
    <t>Interest Rate</t>
  </si>
  <si>
    <t>Net Proceeds</t>
  </si>
  <si>
    <t>April 18, 2023</t>
  </si>
  <si>
    <t>April 15, 2026</t>
  </si>
  <si>
    <t>Fixed</t>
  </si>
  <si>
    <t>April 15, 2028</t>
  </si>
  <si>
    <t>April 15, 2030</t>
  </si>
  <si>
    <t>April 15, 2033</t>
  </si>
  <si>
    <t>April 15, 2053</t>
  </si>
  <si>
    <t>In 2026 the other line itme here may contain share based compensation as it is omitted form th eactual notes for 2026 report.</t>
  </si>
  <si>
    <t>Same as Share based Compensation, Mark to Market is clubbed with the other making others 460 to 813 in value</t>
  </si>
  <si>
    <t>same with 2026 year as the 2025 year</t>
  </si>
  <si>
    <t>Total USD denominated</t>
  </si>
  <si>
    <t>Variable</t>
  </si>
  <si>
    <t>2027 to 2054 (for latest year as Ref)</t>
  </si>
  <si>
    <t>Jan 31st 2026</t>
  </si>
  <si>
    <t>2027</t>
  </si>
  <si>
    <t>2028</t>
  </si>
  <si>
    <t>2029</t>
  </si>
  <si>
    <t>2030</t>
  </si>
  <si>
    <t>2031</t>
  </si>
  <si>
    <t>Information on significant issuances of longterm debt during fiscal 2026, for general corporate purposes, is as follows</t>
  </si>
  <si>
    <t>April 18, 2025</t>
  </si>
  <si>
    <t>April 28, 2027</t>
  </si>
  <si>
    <t>April 28, 2030</t>
  </si>
  <si>
    <t>April 28, 2035</t>
  </si>
  <si>
    <t>Floating</t>
  </si>
  <si>
    <t>Walmart U.S. net sales by merchandise category</t>
  </si>
  <si>
    <t>Fiscal Years Ended January 31,</t>
  </si>
  <si>
    <t>Grocery</t>
  </si>
  <si>
    <t>General merchandise</t>
  </si>
  <si>
    <t>Health and wellness</t>
  </si>
  <si>
    <t>Walmart International net sales by market</t>
  </si>
  <si>
    <t>Mexico and Central America</t>
  </si>
  <si>
    <t>Canada</t>
  </si>
  <si>
    <t>China</t>
  </si>
  <si>
    <t>Sam's Club U.S. net sales by merchandise category</t>
  </si>
  <si>
    <t>Fuel and other</t>
  </si>
  <si>
    <t>same balaces foe 2023, 2022</t>
  </si>
  <si>
    <t>Short-term borrowings as of January 31, 2026 and 2025 were $6.6 billion and $3.1 billion, respectively, with weighted-average interest rates of 4% and 5.3%, respectively.</t>
  </si>
  <si>
    <t>2025</t>
  </si>
  <si>
    <t>2024</t>
  </si>
  <si>
    <t>From 24 AR</t>
  </si>
  <si>
    <t>From 23 AR</t>
  </si>
  <si>
    <t>From 25 AR</t>
  </si>
  <si>
    <t>From 26 AR</t>
  </si>
  <si>
    <t>United Kingdom</t>
  </si>
  <si>
    <t>Of Walmart International's total net sales, approximately $29.5 billion, $24.8 billion and $20.3 billion $18.5 billion related to eCommerce for fiscal 2025, 2024, 2023 and 2022 respectively.</t>
  </si>
  <si>
    <t>For Walmart US</t>
  </si>
  <si>
    <t>Groceries</t>
  </si>
  <si>
    <t>Health &amp; Wellness</t>
  </si>
  <si>
    <t>General Merchandise</t>
  </si>
  <si>
    <t>For Sam's Club</t>
  </si>
  <si>
    <t>Walmart International</t>
  </si>
  <si>
    <t>Walmart US Revenue</t>
  </si>
  <si>
    <t xml:space="preserve">Revenue from Walmart US </t>
  </si>
  <si>
    <t>Revenue from Walmart International</t>
  </si>
  <si>
    <t>Sam's Club</t>
  </si>
  <si>
    <t>Fuel and Other</t>
  </si>
  <si>
    <t>Revenue from Sam's Club</t>
  </si>
  <si>
    <t>Net Sales</t>
  </si>
  <si>
    <t>check</t>
  </si>
  <si>
    <t>Cost Schedule</t>
  </si>
  <si>
    <t>Summary</t>
  </si>
  <si>
    <t>Working Capital Schedule</t>
  </si>
  <si>
    <t>Days in Period</t>
  </si>
  <si>
    <t>Revenue</t>
  </si>
  <si>
    <t>Accounts Recievables Days</t>
  </si>
  <si>
    <t>Invetory Days</t>
  </si>
  <si>
    <t>Accounts Payable Days</t>
  </si>
  <si>
    <t>Total Amounts</t>
  </si>
  <si>
    <t>Accounts Recievables</t>
  </si>
  <si>
    <t>Invetory</t>
  </si>
  <si>
    <t>Accounts payable</t>
  </si>
  <si>
    <t>Cash Changes</t>
  </si>
  <si>
    <t>Cash From Working Capital Items</t>
  </si>
  <si>
    <t>Depreciation Schedule</t>
  </si>
  <si>
    <t>Percent of Full Year</t>
  </si>
  <si>
    <t>Useful life</t>
  </si>
  <si>
    <t xml:space="preserve">PP&amp;E </t>
  </si>
  <si>
    <t>useful life</t>
  </si>
  <si>
    <t>First year amount</t>
  </si>
  <si>
    <t>Year</t>
  </si>
  <si>
    <t>Life</t>
  </si>
  <si>
    <t>Amounts for Depreciation</t>
  </si>
  <si>
    <t>Capex</t>
  </si>
  <si>
    <t>Per Yr</t>
  </si>
  <si>
    <t>Existing Assets</t>
  </si>
  <si>
    <t>New Assets</t>
  </si>
  <si>
    <t>Total Depreciation</t>
  </si>
  <si>
    <t xml:space="preserve">PP&amp;E is adjusted for land and construction in progress and all capital expenditure is assumed depreciable. </t>
  </si>
  <si>
    <t xml:space="preserve">This schedule calculates depreciation on a straight-line basis. </t>
  </si>
  <si>
    <t>Asset Schedule</t>
  </si>
  <si>
    <t>Capital Expenditure</t>
  </si>
  <si>
    <t xml:space="preserve">First Year Tax Depreciation </t>
  </si>
  <si>
    <t>Blended tax Depreciation Rate</t>
  </si>
  <si>
    <t>Beginning Net PPE</t>
  </si>
  <si>
    <t>Disposals</t>
  </si>
  <si>
    <t>Accounting Depreciation</t>
  </si>
  <si>
    <t>Ending Net PPE</t>
  </si>
  <si>
    <t>Good will</t>
  </si>
  <si>
    <t>Total PPE and Goodwill</t>
  </si>
  <si>
    <t>Tax Depreciation</t>
  </si>
  <si>
    <t>Finance Lease</t>
  </si>
  <si>
    <t>Operating Lease</t>
  </si>
  <si>
    <t xml:space="preserve">Model assumes no dispositions that would impact the PP&amp;E or the Tax Basis. </t>
  </si>
  <si>
    <t>Earnings Before Tax (EBT)</t>
  </si>
  <si>
    <t>Profitable Before Taxes?</t>
  </si>
  <si>
    <t>Tax Rate</t>
  </si>
  <si>
    <t>Unused Tax Losses Remaining?</t>
  </si>
  <si>
    <t>Adjustment for Depreciation</t>
  </si>
  <si>
    <t>EBT</t>
  </si>
  <si>
    <t>Add: Accounting Depreciation</t>
  </si>
  <si>
    <t>Less: Tax Depreciation</t>
  </si>
  <si>
    <t>EBT After Adjustment</t>
  </si>
  <si>
    <r>
      <t>Adjustment for Tax Losses</t>
    </r>
    <r>
      <rPr>
        <b/>
        <vertAlign val="superscript"/>
        <sz val="10"/>
        <rFont val="Open Sans"/>
        <family val="2"/>
      </rPr>
      <t>1</t>
    </r>
  </si>
  <si>
    <r>
      <t xml:space="preserve">Less: Use of Tax Losses </t>
    </r>
    <r>
      <rPr>
        <vertAlign val="superscript"/>
        <sz val="10"/>
        <rFont val="Open Sans"/>
        <family val="2"/>
      </rPr>
      <t>2</t>
    </r>
  </si>
  <si>
    <t>Taxable Income</t>
  </si>
  <si>
    <t>Tax Losses</t>
  </si>
  <si>
    <t>Beginning</t>
  </si>
  <si>
    <t>Add: New Losses</t>
  </si>
  <si>
    <t>Less: Use of Tax Losses</t>
  </si>
  <si>
    <t>Ending</t>
  </si>
  <si>
    <t>Current Taxes</t>
  </si>
  <si>
    <t>Total Taxes</t>
  </si>
  <si>
    <t xml:space="preserve">This schedule assumes that tax losses can be carried forward indefinitely into the future. </t>
  </si>
  <si>
    <t xml:space="preserve">This schedule assumes losses do not carry back to previous periods to reduce taxable income. </t>
  </si>
  <si>
    <t>Debt Schedule Part 1</t>
  </si>
  <si>
    <t>Cash</t>
  </si>
  <si>
    <t>Beginning Balance</t>
  </si>
  <si>
    <t>Increase / (Decrease)</t>
  </si>
  <si>
    <t>Ending Balance</t>
  </si>
  <si>
    <t>Long Term Debt</t>
  </si>
  <si>
    <t>Interest Expense</t>
  </si>
  <si>
    <t>Debt Schedule Part 2</t>
  </si>
  <si>
    <t>Available Cash</t>
  </si>
  <si>
    <t>Beginning Cash Balance</t>
  </si>
  <si>
    <t>Cash from Operations</t>
  </si>
  <si>
    <t>Cash from Investing</t>
  </si>
  <si>
    <t>Change in Long-Term Debt</t>
  </si>
  <si>
    <t>Change in Common Equity</t>
  </si>
  <si>
    <t>Dividends</t>
  </si>
  <si>
    <t>Cash Available for Revolving Credit Line</t>
  </si>
  <si>
    <t>Revolving Credit Line</t>
  </si>
  <si>
    <t>Less: Interest Income</t>
  </si>
  <si>
    <t>Net Interest Expense</t>
  </si>
  <si>
    <t>Equity Schedule</t>
  </si>
  <si>
    <t>Common Equity</t>
  </si>
  <si>
    <t>Net Income to parent</t>
  </si>
  <si>
    <t>Payout Ratio</t>
  </si>
  <si>
    <t>Dividend</t>
  </si>
  <si>
    <t>Net Income  to Parent</t>
  </si>
  <si>
    <t>Buybacks</t>
  </si>
  <si>
    <t>AOCI</t>
  </si>
  <si>
    <t>Non Controlling Interest</t>
  </si>
  <si>
    <t>NCI Net income</t>
  </si>
  <si>
    <t>Distributions</t>
  </si>
  <si>
    <t>Other Assets</t>
  </si>
  <si>
    <t>Accrual %</t>
  </si>
  <si>
    <t>Other Financing activities</t>
  </si>
  <si>
    <t>Net CapEx</t>
  </si>
  <si>
    <t>CapEx</t>
  </si>
  <si>
    <t>Refinancing</t>
  </si>
  <si>
    <t>Tax Shield from Interest</t>
  </si>
  <si>
    <t>Current Taxes (Levered)</t>
  </si>
  <si>
    <t>EBIT</t>
  </si>
  <si>
    <t>Total tax Shield</t>
  </si>
  <si>
    <t>D&amp;A</t>
  </si>
  <si>
    <t>EBITDA</t>
  </si>
  <si>
    <t>EBITDA Method</t>
  </si>
  <si>
    <t>Unlevered Free Cash Flow</t>
  </si>
  <si>
    <t>EBIT Method</t>
  </si>
  <si>
    <t>(-) (1-Taxrate)</t>
  </si>
  <si>
    <t>(-) CapEx</t>
  </si>
  <si>
    <t>(-) Change in Working Capital</t>
  </si>
  <si>
    <t>Terminal Growth</t>
  </si>
  <si>
    <t>Valuation</t>
  </si>
  <si>
    <t>Discrete Forecast</t>
  </si>
  <si>
    <t>WACC</t>
  </si>
  <si>
    <t>(DD-MM-YY)</t>
  </si>
  <si>
    <t>Fiscal Year End</t>
  </si>
  <si>
    <t>Cash Flow Timing</t>
  </si>
  <si>
    <t>Terminal Value</t>
  </si>
  <si>
    <t>Total Cash Flow</t>
  </si>
  <si>
    <t>Partial Period Adjustment</t>
  </si>
  <si>
    <t>Years for Discounting</t>
  </si>
  <si>
    <t>ENTERPRISE VALUE</t>
  </si>
  <si>
    <t>Manual Method</t>
  </si>
  <si>
    <t>PV of Discrete</t>
  </si>
  <si>
    <r>
      <t xml:space="preserve">XNPV Function </t>
    </r>
    <r>
      <rPr>
        <vertAlign val="superscript"/>
        <sz val="9"/>
        <color rgb="FF000000"/>
        <rFont val="Open Sans"/>
        <family val="2"/>
      </rPr>
      <t>1</t>
    </r>
  </si>
  <si>
    <t>PV of Terminal</t>
  </si>
  <si>
    <t>Enterprise Value</t>
  </si>
  <si>
    <t>EQUITY VALUE</t>
  </si>
  <si>
    <t>EQUITY VALUE PER SHARE</t>
  </si>
  <si>
    <t>Equity Value</t>
  </si>
  <si>
    <t>Less: Net Debt</t>
  </si>
  <si>
    <t>Shares Outstanding</t>
  </si>
  <si>
    <t>(FD 000)</t>
  </si>
  <si>
    <t>($/sh)</t>
  </si>
  <si>
    <t>Annual Aggregate Growth</t>
  </si>
  <si>
    <t>Growth rate as per the earnings presentation on Feb 2026 :</t>
  </si>
  <si>
    <t>mid single digit</t>
  </si>
  <si>
    <t>mid to high single digt</t>
  </si>
  <si>
    <t>low to mid single digit</t>
  </si>
  <si>
    <t>assumed it will grow at 0.25% of the  assumed rate</t>
  </si>
  <si>
    <t>mid to high single digit</t>
  </si>
  <si>
    <t>Notes Col</t>
  </si>
  <si>
    <t>Assuming that AR days might improve gradually towards 5 days</t>
  </si>
  <si>
    <t>Assuming that Inventory days will improve matching the trend and might hover around 38 in the future but shown will improve matching the trend</t>
  </si>
  <si>
    <t>Assumed to improve again as it fluctuates between 42 to 43</t>
  </si>
  <si>
    <t>Total CapEx</t>
  </si>
  <si>
    <r>
      <t xml:space="preserve">Existing Assets </t>
    </r>
    <r>
      <rPr>
        <vertAlign val="superscript"/>
        <sz val="10"/>
        <rFont val="Open Sans"/>
        <family val="2"/>
      </rPr>
      <t>1</t>
    </r>
  </si>
  <si>
    <r>
      <t xml:space="preserve">New Assets </t>
    </r>
    <r>
      <rPr>
        <vertAlign val="superscript"/>
        <sz val="10"/>
        <rFont val="Open Sans"/>
        <family val="2"/>
      </rPr>
      <t>1</t>
    </r>
  </si>
  <si>
    <r>
      <t xml:space="preserve">Total Asset Depreciation </t>
    </r>
    <r>
      <rPr>
        <vertAlign val="superscript"/>
        <sz val="10"/>
        <rFont val="Open Sans"/>
        <family val="2"/>
      </rPr>
      <t>2</t>
    </r>
  </si>
  <si>
    <r>
      <t xml:space="preserve">Property, Plant &amp; Equipment </t>
    </r>
    <r>
      <rPr>
        <vertAlign val="superscript"/>
        <sz val="10"/>
        <rFont val="Open Sans"/>
        <family val="2"/>
      </rPr>
      <t>1</t>
    </r>
  </si>
  <si>
    <r>
      <t xml:space="preserve">Tax Basis </t>
    </r>
    <r>
      <rPr>
        <vertAlign val="superscript"/>
        <sz val="10"/>
        <rFont val="Open Sans"/>
        <family val="2"/>
      </rPr>
      <t>1</t>
    </r>
  </si>
  <si>
    <t>Drivers and Inputs</t>
  </si>
  <si>
    <t>Growth Rate</t>
  </si>
  <si>
    <t>Aggregate Growth rate taken from Earnings report and previous trend</t>
  </si>
  <si>
    <t>Assumed to reduce to match with historical years and might increase during distress times like in 2023 cause of Russia - Ukraine conflict</t>
  </si>
  <si>
    <t>Assumed to reduce slowly in line with historicals as previous years registers similar figures in range of 20%</t>
  </si>
  <si>
    <t>Assumes only 3.5% of Rev to closely match with the historicals</t>
  </si>
  <si>
    <t>Assets &amp; Depreciation</t>
  </si>
  <si>
    <t>First Year Accounting Depreciation/ Depreciable First year Amount</t>
  </si>
  <si>
    <t>Usefull life: Existing assets</t>
  </si>
  <si>
    <t>Usefull life: New assets</t>
  </si>
  <si>
    <t>Tax basis for Assets</t>
  </si>
  <si>
    <t>Depreciable Assets</t>
  </si>
  <si>
    <t>Interest Rates</t>
  </si>
  <si>
    <t>Other Single Inputs</t>
  </si>
  <si>
    <t>Cash Balances</t>
  </si>
  <si>
    <t>Dividend Payout ratio</t>
  </si>
  <si>
    <t>NCI Dividend/Distribution</t>
  </si>
  <si>
    <t>Dates</t>
  </si>
  <si>
    <t>Valuation Date</t>
  </si>
  <si>
    <t>Net Debt</t>
  </si>
  <si>
    <t>First Expected Cash Flow</t>
  </si>
  <si>
    <t>First Fiscal Year End for Forecast</t>
  </si>
  <si>
    <t>First Year of Forecast</t>
  </si>
  <si>
    <t>Incorrect Date Set for Valuation?</t>
  </si>
  <si>
    <t>Incorrect Date Set for First Cash Flow?</t>
  </si>
  <si>
    <t>Shares Oustanding</t>
  </si>
  <si>
    <t>Current Stock Price</t>
  </si>
  <si>
    <t>(US$/sh)</t>
  </si>
  <si>
    <t>Terminal Growth Rate</t>
  </si>
  <si>
    <t>Terminal EBITDA Multiple</t>
  </si>
  <si>
    <t>Weighted Average Cost of Capital</t>
  </si>
  <si>
    <t>Terminal Growth Greater than or equal to WACC</t>
  </si>
  <si>
    <t>Tax rate is in the range 24% to 25% as mentioned in the report</t>
  </si>
  <si>
    <t>Tax Basis for assets is calculated using (</t>
  </si>
  <si>
    <t>end of 2026</t>
  </si>
  <si>
    <t xml:space="preserve">For Tax Basis for assets is calculated using the formula (net ppe- (DTL ppe/tax rate))basically back solving the using formula used to claculate the DTL </t>
  </si>
  <si>
    <t>NO Tax losses as Walmart been genrating good taxable income meaning they are profitable assuming zero for tax losses.</t>
  </si>
  <si>
    <t>Net PP&amp;E at the End of 2026FY</t>
  </si>
  <si>
    <t>Gross PP&amp;E at the End of 2026FY</t>
  </si>
  <si>
    <t>Income Tax Schedule (Levered)</t>
  </si>
  <si>
    <t>might consider an average value but for now its 0</t>
  </si>
  <si>
    <t>Income Tax Schedule (Unlevered)</t>
  </si>
  <si>
    <t>Earnings Before Interest Tax (EBIT)</t>
  </si>
  <si>
    <t xml:space="preserve">Short term Debt </t>
  </si>
  <si>
    <t>Interest Expense, Finance lease</t>
  </si>
  <si>
    <t>Interest Expense, Net</t>
  </si>
  <si>
    <t>Needs Circularity</t>
  </si>
  <si>
    <t>Stock Repurchases</t>
  </si>
  <si>
    <t>Unlevered Free Cash Flow Schedule</t>
  </si>
  <si>
    <t>Current Taxes (Unlevered)</t>
  </si>
  <si>
    <t>In Terminal Year DnA is equal to the CapEX</t>
  </si>
  <si>
    <t>(-) Current Taxes</t>
  </si>
  <si>
    <t xml:space="preserve">(-) Change in Working Capital </t>
  </si>
  <si>
    <t>UFCF</t>
  </si>
  <si>
    <t>FCF after Dividends</t>
  </si>
  <si>
    <t>Cash Available for Buybacks</t>
  </si>
  <si>
    <t>Remaining Cash</t>
  </si>
  <si>
    <t>(-) Dividends</t>
  </si>
  <si>
    <t>(-) Net Debt Repayment</t>
  </si>
  <si>
    <t>(+) New Debt (Refinancing)</t>
  </si>
  <si>
    <t>Actual Buybacks</t>
  </si>
  <si>
    <t>30Billion Buyback program announced in Feb 2026 after accomplishing 20 billion program  in FY2026</t>
  </si>
  <si>
    <t>Planned Repurchases</t>
  </si>
  <si>
    <t xml:space="preserve">Assuming the RC will average of the previous two years at 540 Millions, as prior years are more volatile </t>
  </si>
  <si>
    <t>Assumed the average for Goodwill as its bit constant in 28 Billion range from past 4 years</t>
  </si>
  <si>
    <t>Term is not required as the entire EBT 's tax rate is will be the tax</t>
  </si>
  <si>
    <t>Leases</t>
  </si>
  <si>
    <t xml:space="preserve">The Company leases certain retail locations, distribution and fulfillment centers, warehouses, office spaces, land and equipment throughout the U.S. and internationally. </t>
  </si>
  <si>
    <t>The Company's lease costs recognized in the Consolidated Statements of Income consist of the following:</t>
  </si>
  <si>
    <t>Finance Lease Cost</t>
  </si>
  <si>
    <t>Amortization of ROU Assets</t>
  </si>
  <si>
    <t>Interest on Lease Obligations</t>
  </si>
  <si>
    <t>Variable Lease Cost</t>
  </si>
  <si>
    <t>Cash Paid for Amounts Included in Measurement of Lease Obligations</t>
  </si>
  <si>
    <t>Operating Cash Flows from Operating Leases</t>
  </si>
  <si>
    <t>Operating Cash Flow from Finance Leases</t>
  </si>
  <si>
    <t>Financing Cash Flows from Finance leases</t>
  </si>
  <si>
    <t>Assests Obtained in Exchange for Finance Lease Obligations</t>
  </si>
  <si>
    <t>Assests Obtained in Exchange for operating Lease Obligations</t>
  </si>
  <si>
    <t>Other Lease Info:</t>
  </si>
  <si>
    <t>Operating Lease Cost:</t>
  </si>
  <si>
    <t>Weighted Avg Remaining Lease Term Op Leases</t>
  </si>
  <si>
    <t>Weighted Avg Remaining Lease Term Finance Leases</t>
  </si>
  <si>
    <t>Weighted Avg Discount rate Term Op Leases</t>
  </si>
  <si>
    <t>Weighted Avg Discount rate Term Finance Leases</t>
  </si>
  <si>
    <t>Fiscal Year</t>
  </si>
  <si>
    <t>Total Undiscounted Lease Obligations</t>
  </si>
  <si>
    <t>Less Imputed Interest</t>
  </si>
  <si>
    <t>Net Lease Obigations</t>
  </si>
  <si>
    <t>The Aggregate Annual Lease Obligation at 31st January 2026</t>
  </si>
  <si>
    <t>in 2026 annual agg lease obligations were</t>
  </si>
  <si>
    <t>in 2025 annual agg lease obligations were</t>
  </si>
  <si>
    <t>Finance Weighted Avg Discount Rate</t>
  </si>
  <si>
    <t>Op Lease Weighted Avg Discount Rate</t>
  </si>
  <si>
    <t>Assumed to be Constant at 2026FY Discount Rate</t>
  </si>
  <si>
    <t>New Op Leases</t>
  </si>
  <si>
    <t>New Finance Lease</t>
  </si>
  <si>
    <t>New leases (OP and Finance) as on 2026FY and assumed to grow each year by 3.5% pa from 2027FY</t>
  </si>
  <si>
    <t>Average of previous years at 256</t>
  </si>
  <si>
    <t>Leases Schedule</t>
  </si>
  <si>
    <t>Operating Lease Assets</t>
  </si>
  <si>
    <t>Beginning ROU Assest</t>
  </si>
  <si>
    <t>New Leases/ Changes in Leases</t>
  </si>
  <si>
    <t>Amortization</t>
  </si>
  <si>
    <t>Ending ROU Asset</t>
  </si>
  <si>
    <t>Finance Lease Asset</t>
  </si>
  <si>
    <t>Operating Lease Liabilities</t>
  </si>
  <si>
    <t>Beginning Lease Liability</t>
  </si>
  <si>
    <t>New Leases</t>
  </si>
  <si>
    <t>Cash payments</t>
  </si>
  <si>
    <t>Ending Lease Liability</t>
  </si>
  <si>
    <t>Net Income to NCI</t>
  </si>
  <si>
    <t>Other Gains and Losses</t>
  </si>
  <si>
    <t>As the Avg is -1257 but the other gains and losses have been highly unpredictable over past fives years. Unrealized fair value changes on the equity investments excluded from forecast. Assumed zero to forcus on the core operatiing performance and avoid speculation on market movements.</t>
  </si>
  <si>
    <t>Fluctuating. Assuming the avg of -347 for FY2027, and keeps on taking avg of past years to all forecast years. in 2026 it was-377</t>
  </si>
  <si>
    <t>Prepaid Days</t>
  </si>
  <si>
    <t>Prepaids as days of revenue, adds granularity and avoids simple assumption of growth.</t>
  </si>
  <si>
    <t>Other Assest % Total revenue</t>
  </si>
  <si>
    <t>Accrued Liabilities</t>
  </si>
  <si>
    <t>Accrued Liabilities Days</t>
  </si>
  <si>
    <t>Same as Prepaids and same logic considers the COGS assumed to decrease slowly in coordination with the historical movement</t>
  </si>
  <si>
    <t>Interest Accretion</t>
  </si>
  <si>
    <t>Finance Lease Liabilities</t>
  </si>
  <si>
    <t>Total Op Lease Obligations</t>
  </si>
  <si>
    <t>Total Finance lease Obligations</t>
  </si>
  <si>
    <t>Total Operating Lease Obligations</t>
  </si>
  <si>
    <t>Total Finance Lease Obligations</t>
  </si>
  <si>
    <t>Tax Expenses</t>
  </si>
  <si>
    <t>Other Supporting Schedules</t>
  </si>
  <si>
    <t>Repayments/Maturities</t>
  </si>
  <si>
    <t>Repyaments of Long term debt</t>
  </si>
  <si>
    <t>Debt</t>
  </si>
  <si>
    <t>Total Debt</t>
  </si>
  <si>
    <t>We have kept it as constant, as the wlamrt short term liquidity maintaing programs still with cash balance of 15 Billion undrawn so wlmart might add more short term debt over the course of the years</t>
  </si>
  <si>
    <t xml:space="preserve">FX rates are quite unpredictable and dependency on Market movements, here we are focusing on the company not its equity investments are hedging strategies </t>
  </si>
  <si>
    <t>Disposal Proceeds of PP&amp;E</t>
  </si>
  <si>
    <t>Disposal Proceds from Strategic Divestitures</t>
  </si>
  <si>
    <t>Payments to Acquisitions, net of cash aquired</t>
  </si>
  <si>
    <t>Disposal Proceeds % CapEx</t>
  </si>
  <si>
    <t>Dsiposals procceds and Acquisition are quite unpredicatable and aminly Walmarts acquisition is quite strategics and opportunistic.</t>
  </si>
  <si>
    <t>CapEx % Rev</t>
  </si>
  <si>
    <t>Actaul CapEx</t>
  </si>
  <si>
    <t>Revised CapEx % Rev</t>
  </si>
  <si>
    <t>Assumed as the Average of past Five years at -347</t>
  </si>
  <si>
    <t>Purchase of non Controling Interest</t>
  </si>
  <si>
    <t>Sale of subsidiary Stock</t>
  </si>
  <si>
    <t>(Purchase) / Sale of NCI</t>
  </si>
  <si>
    <t xml:space="preserve">trend is Unpredictable and highly discretionary </t>
  </si>
  <si>
    <t>Net NCI Transaction</t>
  </si>
  <si>
    <t>Dividends to NCI</t>
  </si>
  <si>
    <t>(+/-) Net NCI Transaction</t>
  </si>
  <si>
    <t>Other Operating Activities</t>
  </si>
  <si>
    <t>Other Investing Activities</t>
  </si>
  <si>
    <t>Other Operating Items as % Rev</t>
  </si>
  <si>
    <t>Other Financing items % Rev</t>
  </si>
  <si>
    <t>Other Investing Items % Rev</t>
  </si>
  <si>
    <t>Assuming that CapEx is at 3.75 to 4.25% of the Rev and Assets life is around 15 years for the existing and 12 for new ones and first year depreciation amount is assumed 50%</t>
  </si>
  <si>
    <t>Revolving Credit line</t>
  </si>
  <si>
    <t>Since these Other Operating, Investinga nd Financing activities have $ to $ effect on Balance sheet.</t>
  </si>
  <si>
    <t>Operating activities assumed to be more that Average and significatly will be higher than previous years balance because of the inmproved operating effeiciency through certaing Strategic investments like acquisitions and divestitures and</t>
  </si>
  <si>
    <t>whereas Investing activity Kept at 0.1% as Walmart has excess Cash flow left after all the obligations fulfilled.</t>
  </si>
  <si>
    <t>Other financing activities and Investing have been kept at same levels since these two carry small amounts all the main line items of repective sections since there's little to no extra transactions in the section all the line items are growing in trend  fincancing activity have been reduced to 0.3% of Rev from 0.4%</t>
  </si>
  <si>
    <t>Cost</t>
  </si>
  <si>
    <t>Lease Cost</t>
  </si>
  <si>
    <t>And also due to lack of Information on RC we assumed total Cash will directly flows into BS from CFS</t>
  </si>
  <si>
    <t>UFCF Perpetuity Growth Method</t>
  </si>
  <si>
    <t>UFCF EBITDA Multiple Method</t>
  </si>
  <si>
    <t>Average</t>
  </si>
  <si>
    <t>Debt/</t>
  </si>
  <si>
    <t>Levered</t>
  </si>
  <si>
    <t>Unlevered</t>
  </si>
  <si>
    <t>Name</t>
  </si>
  <si>
    <t>Region</t>
  </si>
  <si>
    <t>Equity</t>
  </si>
  <si>
    <t>Capital</t>
  </si>
  <si>
    <t>Median</t>
  </si>
  <si>
    <t>Risk Premium for Equity</t>
  </si>
  <si>
    <t>Cost of Equity</t>
  </si>
  <si>
    <t>Market Risk Premium</t>
  </si>
  <si>
    <t>Risk Free Rate</t>
  </si>
  <si>
    <t>Average Unlevered Beta</t>
  </si>
  <si>
    <t>Equity Risk Premium</t>
  </si>
  <si>
    <r>
      <t xml:space="preserve">Levered Beta </t>
    </r>
    <r>
      <rPr>
        <vertAlign val="superscript"/>
        <sz val="10"/>
        <color rgb="FF000000"/>
        <rFont val="Open Sans"/>
        <family val="2"/>
      </rPr>
      <t>4</t>
    </r>
  </si>
  <si>
    <t>Country Risk Premium</t>
  </si>
  <si>
    <t>Capital Structure</t>
  </si>
  <si>
    <t>Cost of Debt</t>
  </si>
  <si>
    <t>Current</t>
  </si>
  <si>
    <t>Target</t>
  </si>
  <si>
    <t>Pre-Tax Cost of Debt</t>
  </si>
  <si>
    <t>Market Capitalization</t>
  </si>
  <si>
    <t>After-Tax Cost of Debt</t>
  </si>
  <si>
    <t>Total Capitalization</t>
  </si>
  <si>
    <t>Debt / Equity</t>
  </si>
  <si>
    <t>Weight</t>
  </si>
  <si>
    <t xml:space="preserve">Tax Rate is a 5-Year Average. </t>
  </si>
  <si>
    <t>Debt Capital</t>
  </si>
  <si>
    <t xml:space="preserve">Levered beta is based on 5-year monthly data. </t>
  </si>
  <si>
    <t>Equity Capital</t>
  </si>
  <si>
    <t xml:space="preserve">Unlevered Beta = Levered Beta / (1 + (1 - Tax Rate) × Debt-to-Equity) </t>
  </si>
  <si>
    <t xml:space="preserve">Levered Beta = Unlevered Beta x (1 + (1 - Tax rate) x (Debt-to-Equity)) </t>
  </si>
  <si>
    <t>Costco Wholesale</t>
  </si>
  <si>
    <t>Target Corporation</t>
  </si>
  <si>
    <t>The Kroger Co</t>
  </si>
  <si>
    <t>Amazon.com Inc</t>
  </si>
  <si>
    <t>AMZN</t>
  </si>
  <si>
    <t>NASDAQ</t>
  </si>
  <si>
    <t>NYSE</t>
  </si>
  <si>
    <t>COST</t>
  </si>
  <si>
    <t>TGT</t>
  </si>
  <si>
    <t>KR</t>
  </si>
  <si>
    <t>Ticker</t>
  </si>
  <si>
    <t>Exchange</t>
  </si>
  <si>
    <t>US</t>
  </si>
  <si>
    <t>NOTE:</t>
  </si>
  <si>
    <r>
      <t xml:space="preserve">Beta </t>
    </r>
    <r>
      <rPr>
        <vertAlign val="superscript"/>
        <sz val="10"/>
        <color theme="1"/>
        <rFont val="Open Sans"/>
        <family val="2"/>
      </rPr>
      <t>2</t>
    </r>
  </si>
  <si>
    <r>
      <t xml:space="preserve">Beta </t>
    </r>
    <r>
      <rPr>
        <vertAlign val="superscript"/>
        <sz val="10"/>
        <color theme="1"/>
        <rFont val="Open Sans"/>
        <family val="2"/>
      </rPr>
      <t>3</t>
    </r>
  </si>
  <si>
    <r>
      <t xml:space="preserve">Tax Rate </t>
    </r>
    <r>
      <rPr>
        <vertAlign val="superscript"/>
        <sz val="10"/>
        <color theme="1"/>
        <rFont val="Open Sans"/>
        <family val="2"/>
      </rPr>
      <t>1</t>
    </r>
  </si>
  <si>
    <t>Considered as 0 since it’s a Benchamark Matured Market</t>
  </si>
  <si>
    <t>Benchmark Rate (10Y treasury) + Credit Spread</t>
  </si>
  <si>
    <t>0.6% to 0.7% for AA rated company like Walmart</t>
  </si>
  <si>
    <t>Excluded to capture the grocery focused business to calculate the WACC</t>
  </si>
  <si>
    <r>
      <t>In recent bond offerings, Walmart's 10-year tranches have been priced at exactly </t>
    </r>
    <r>
      <rPr>
        <i/>
        <sz val="9"/>
        <rFont val="Arial"/>
        <family val="2"/>
      </rPr>
      <t>0.70%</t>
    </r>
    <r>
      <rPr>
        <i/>
        <sz val="9"/>
        <rFont val="Arial"/>
        <family val="2"/>
      </rPr>
      <t> above U.S. Treasuries.</t>
    </r>
  </si>
  <si>
    <r>
      <t>For highly rated 'AA' corporate issuers like Walmart, the spread typically fluctuates between </t>
    </r>
    <r>
      <rPr>
        <i/>
        <sz val="9"/>
        <rFont val="Arial"/>
        <family val="2"/>
      </rPr>
      <t>0.45% and 0.75%</t>
    </r>
    <r>
      <rPr>
        <i/>
        <sz val="9"/>
        <rFont val="Arial"/>
        <family val="2"/>
      </rPr>
      <t> depending on daily market volatility and the specific maturity of the debt.</t>
    </r>
  </si>
  <si>
    <t>Terminal Multiple</t>
  </si>
  <si>
    <t>Terminal</t>
  </si>
  <si>
    <r>
      <t xml:space="preserve">Terminal Value </t>
    </r>
    <r>
      <rPr>
        <vertAlign val="superscript"/>
        <sz val="10"/>
        <rFont val="Open Sans"/>
        <family val="2"/>
      </rPr>
      <t>1</t>
    </r>
  </si>
  <si>
    <t>Adjustment</t>
  </si>
  <si>
    <r>
      <t xml:space="preserve">XNPV Function </t>
    </r>
    <r>
      <rPr>
        <vertAlign val="superscript"/>
        <sz val="9"/>
        <rFont val="Open Sans"/>
        <family val="2"/>
      </rPr>
      <t>2</t>
    </r>
  </si>
  <si>
    <t xml:space="preserve">We have applied an LTM multiple to the EBITDA at the end of the terminal year to calculate the Terminal Value. </t>
  </si>
  <si>
    <t xml:space="preserve">The Enterprise Value from the XNPV Function is slightly different from the Manual Method due to treatment of leap years. </t>
  </si>
  <si>
    <t>Grocery-Ecom-Tech hybrid TV ranging from 2.5% to 3.5%</t>
  </si>
  <si>
    <t>only Grocery 2 % to 3% is justified</t>
  </si>
  <si>
    <t>Since the Walmrt is in both matured state in Grocery and in transition with the technology and certain supply chain and Ai driven tech in being inplemented so assuming 3%</t>
  </si>
  <si>
    <t>Amazon AMZN</t>
  </si>
  <si>
    <t>Costco wholesale COST</t>
  </si>
  <si>
    <t>Alphabet INC GOOGL</t>
  </si>
  <si>
    <t>The Home Depot HD</t>
  </si>
  <si>
    <t>Meta Platforms META</t>
  </si>
  <si>
    <t>Treating Walmart as like a tech company or as a hybrid following are the peers:</t>
  </si>
  <si>
    <t>Unadjusted Cash Flow</t>
  </si>
  <si>
    <t>Adjusted Cash Flow</t>
  </si>
  <si>
    <t>Discounted Cash Flow</t>
  </si>
  <si>
    <t>Equity Value Per Share</t>
  </si>
  <si>
    <t>All figures in USD millions unless stated</t>
  </si>
  <si>
    <t>Valuation Input and Assumptions</t>
  </si>
  <si>
    <t>Dashboard and Outputs</t>
  </si>
  <si>
    <t xml:space="preserve">Assuming cash flow happen in first half or second half or semiannully </t>
  </si>
  <si>
    <t>here its 6m from the Fy end</t>
  </si>
  <si>
    <t>EnterPrise Value</t>
  </si>
  <si>
    <t>Terminal Growth value</t>
  </si>
  <si>
    <t>Premium (Discount) to Stock price</t>
  </si>
  <si>
    <t>Equity Value per Share</t>
  </si>
  <si>
    <t>Sensitivity Analysis</t>
  </si>
  <si>
    <t xml:space="preserve">Weighted Average Cost of Capital </t>
  </si>
  <si>
    <t>Shares outstanding</t>
  </si>
  <si>
    <t>*similar to Walamrt transition from traditional retailer to a business encompasing modern digital reach</t>
  </si>
  <si>
    <t>10Y Treasury Notes as on 1st June 2026 is 4.16%</t>
  </si>
  <si>
    <t>from Ashwath Damodaran</t>
  </si>
  <si>
    <t>MRP (4.3% to 4.5%) :  Based on model-agnostic implied equity risk premium valuations for the S&amp;P 500, the market risk premium hovered in the mid-4% range. This reflects the incremental return investors required above the risk-free rate to hold a diversified portfolio of equities amidst mid-year geopolitical volatility</t>
  </si>
  <si>
    <t>4.16% + 0.65%</t>
  </si>
  <si>
    <t>As Wlamart is transitioning into more like Amazon but retail at its core</t>
  </si>
  <si>
    <t>AS on 1st June 2026</t>
  </si>
  <si>
    <t>Intrinsic Value/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</si>
</sst>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3" formatCode="_ * #,##0.00_ ;_ * \-#,##0.00_ ;_ * &quot;-&quot;??_ ;_ @_ "/>
    <numFmt numFmtId="164" formatCode="yyyy&quot;F&quot;_)"/>
    <numFmt numFmtId="165" formatCode="yyyy&quot;A&quot;_)"/>
    <numFmt numFmtId="166" formatCode="_ * #,##0_ ;_ * \(#,##0\)_ ;_ * &quot;-&quot;??_ ;_ @_ "/>
    <numFmt numFmtId="167" formatCode="yyyy"/>
    <numFmt numFmtId="168" formatCode="_(#,##0.00%_);\(#,##0.00%\);_(&quot;–&quot;_)_%;_(@_)_%"/>
    <numFmt numFmtId="169" formatCode="_ * #,##0_ ;_ * \-#,##0_ ;_ * &quot;-&quot;??_ ;_ @_ "/>
    <numFmt numFmtId="170" formatCode="0\ &quot;years&quot;"/>
    <numFmt numFmtId="171" formatCode="&quot;Yr&quot;\ 0"/>
    <numFmt numFmtId="172" formatCode="_(#,##0%_);\(#,##0%\);_(&quot;–&quot;_)_%;_(@_)_%"/>
    <numFmt numFmtId="173" formatCode="0&quot;A&quot;"/>
    <numFmt numFmtId="174" formatCode="yyyy&quot;F&quot;\ "/>
    <numFmt numFmtId="175" formatCode="#,##0.00_);\(#,##0.00\);\-"/>
    <numFmt numFmtId="176" formatCode="0&quot;F&quot;"/>
    <numFmt numFmtId="177" formatCode="#,##0_);\(#,##0\);\-"/>
    <numFmt numFmtId="178" formatCode="_(#,##0_);\(#,##0\);_(&quot;–&quot;_);_(@_)"/>
    <numFmt numFmtId="179" formatCode="@\⁽\¹\⁾"/>
    <numFmt numFmtId="180" formatCode="@\⁽\²\⁾"/>
    <numFmt numFmtId="181" formatCode="&quot;Yes&quot;;&quot;ERROR&quot;;&quot;No&quot;;&quot;ERROR&quot;"/>
    <numFmt numFmtId="182" formatCode="0.0%"/>
    <numFmt numFmtId="183" formatCode="_(#,##0_)_%;\(#,##0\)_%;_(&quot;–&quot;_)_%;_(@_)_%"/>
    <numFmt numFmtId="184" formatCode="#,##0_);[Red]\(#,##0\);\-"/>
    <numFmt numFmtId="185" formatCode="_(#,##0.0%_);\(#,##0.0%\);_(&quot;–&quot;_)_%;_(@_)_%"/>
    <numFmt numFmtId="186" formatCode="[=1]&quot;☑️&quot;_);[=0]&quot;⬜&quot;_)"/>
    <numFmt numFmtId="187" formatCode="_ * #,##0.00_ ;_ * \(#,##0.00\)_ ;_ * &quot;-&quot;??_ ;_ @_ "/>
    <numFmt numFmtId="188" formatCode="dd/mm/yy"/>
    <numFmt numFmtId="189" formatCode="_(0.0000\x_);\(0.0000\x\);_(&quot;–&quot;_);_(@_)"/>
    <numFmt numFmtId="190" formatCode="_-* #,##0.00_-;\-* #,##0.00_-;_-* &quot;-&quot;??_-;_-@_-"/>
    <numFmt numFmtId="191" formatCode="_(#,##0.00_);\(#,##0.00\);_(&quot;–&quot;_);_(@_)"/>
    <numFmt numFmtId="192" formatCode="yyyy/mm/dd"/>
    <numFmt numFmtId="193" formatCode="[=1]&quot;Yes&quot;_);[=0]&quot;No&quot;_)"/>
    <numFmt numFmtId="194" formatCode="_-* #,##0_-;\(#,##0\)_-;_-* &quot;-&quot;_-;_-@_-"/>
    <numFmt numFmtId="195" formatCode="0.0\ &quot;years&quot;"/>
    <numFmt numFmtId="196" formatCode="_ * #,##0.000_ ;_ * \(#,##0.000\)_ ;_ * &quot;-&quot;??_ ;_ @_ "/>
    <numFmt numFmtId="197" formatCode="_(#,##0_)\⁽\¹\⁾;\(#,##0\)\⁽\¹\⁾;_(&quot;–&quot;_)\⁽\¹\⁾;_(@_)\⁽\¹\⁾"/>
    <numFmt numFmtId="198" formatCode="_(#,##0_)\⁽\²\⁾;\(#,##0\)\⁽\²\⁾;_(&quot;–&quot;_)\⁽\²\⁾;_(@_)\⁽\²\⁾"/>
    <numFmt numFmtId="199" formatCode="_(0.00\x_)_)_';_(\(0.00\x\)_'_';_(&quot;–&quot;_);_(@_)"/>
    <numFmt numFmtId="200" formatCode="@\⁽\³\⁾"/>
    <numFmt numFmtId="201" formatCode="@\⁽\⁴\⁾"/>
    <numFmt numFmtId="202" formatCode="_(0.0\x_);\(0.0\x\);_(&quot;–&quot;_);_(@_)"/>
    <numFmt numFmtId="203" formatCode="0.000%"/>
  </numFmts>
  <fonts count="51">
    <font>
      <sz val="10"/>
      <color theme="1"/>
      <name val="Open Sans"/>
      <family val="2"/>
    </font>
    <font>
      <b/>
      <sz val="10"/>
      <color theme="1"/>
      <name val="Open Sans"/>
      <family val="2"/>
    </font>
    <font>
      <b/>
      <sz val="10"/>
      <color rgb="FF002060"/>
      <name val="Open Sans"/>
      <family val="2"/>
    </font>
    <font>
      <i/>
      <sz val="10"/>
      <color theme="1"/>
      <name val="Open Sans"/>
      <family val="2"/>
    </font>
    <font>
      <sz val="10"/>
      <color rgb="FF0070C0"/>
      <name val="Open Sans"/>
      <family val="2"/>
    </font>
    <font>
      <i/>
      <sz val="9"/>
      <color theme="1"/>
      <name val="Open Sans"/>
      <family val="2"/>
    </font>
    <font>
      <sz val="9"/>
      <color theme="1"/>
      <name val="Open Sans"/>
      <family val="2"/>
    </font>
    <font>
      <b/>
      <i/>
      <sz val="10"/>
      <color theme="1"/>
      <name val="Open Sans"/>
      <family val="2"/>
    </font>
    <font>
      <sz val="10"/>
      <color theme="1"/>
      <name val="Open Sans"/>
      <family val="2"/>
    </font>
    <font>
      <b/>
      <sz val="10"/>
      <color theme="0"/>
      <name val="Open Sans"/>
      <family val="2"/>
    </font>
    <font>
      <sz val="10"/>
      <color theme="0"/>
      <name val="Open Sans"/>
      <family val="2"/>
    </font>
    <font>
      <b/>
      <sz val="10"/>
      <name val="Open Sans"/>
      <family val="2"/>
    </font>
    <font>
      <b/>
      <vertAlign val="superscript"/>
      <sz val="10"/>
      <name val="Open Sans"/>
      <family val="2"/>
    </font>
    <font>
      <sz val="10"/>
      <color rgb="FF000000"/>
      <name val="Open Sans"/>
      <family val="2"/>
    </font>
    <font>
      <sz val="10"/>
      <name val="Open Sans"/>
      <family val="2"/>
    </font>
    <font>
      <b/>
      <sz val="10"/>
      <color rgb="FFFFFFFF"/>
      <name val="Open Sans"/>
      <family val="2"/>
    </font>
    <font>
      <sz val="10"/>
      <color rgb="FFFA621C"/>
      <name val="Open Sans"/>
      <family val="2"/>
    </font>
    <font>
      <i/>
      <sz val="10"/>
      <name val="Open Sans"/>
      <family val="2"/>
    </font>
    <font>
      <i/>
      <sz val="10"/>
      <color rgb="FF3271D2"/>
      <name val="Open Sans"/>
      <family val="2"/>
    </font>
    <font>
      <vertAlign val="superscript"/>
      <sz val="10"/>
      <name val="Open Sans"/>
      <family val="2"/>
    </font>
    <font>
      <sz val="10"/>
      <name val="Arial"/>
      <family val="2"/>
    </font>
    <font>
      <sz val="10"/>
      <color rgb="FF947131"/>
      <name val="Open Sans"/>
      <family val="2"/>
    </font>
    <font>
      <i/>
      <sz val="9"/>
      <name val="Open Sans"/>
      <family val="2"/>
    </font>
    <font>
      <sz val="14"/>
      <color theme="1"/>
      <name val="Open Sans"/>
      <family val="2"/>
    </font>
    <font>
      <b/>
      <sz val="9"/>
      <color rgb="FF000000"/>
      <name val="Open Sans"/>
      <family val="2"/>
    </font>
    <font>
      <sz val="8"/>
      <name val="Open Sans"/>
      <family val="2"/>
    </font>
    <font>
      <b/>
      <sz val="14"/>
      <color rgb="FF0000FF"/>
      <name val="Open Sans"/>
      <family val="2"/>
    </font>
    <font>
      <sz val="11"/>
      <color theme="1"/>
      <name val="Open Sans"/>
      <family val="2"/>
    </font>
    <font>
      <sz val="10"/>
      <color rgb="FFC32838"/>
      <name val="Open Sans"/>
      <family val="2"/>
    </font>
    <font>
      <sz val="10"/>
      <color rgb="FF3271D2"/>
      <name val="Open Sans"/>
      <family val="2"/>
    </font>
    <font>
      <b/>
      <sz val="10"/>
      <color rgb="FF000000"/>
      <name val="Open Sans"/>
      <family val="2"/>
    </font>
    <font>
      <sz val="11"/>
      <color theme="1"/>
      <name val="Calibri"/>
      <family val="2"/>
      <scheme val="minor"/>
    </font>
    <font>
      <sz val="11"/>
      <color rgb="FF000000"/>
      <name val="Open Sans"/>
      <family val="2"/>
    </font>
    <font>
      <sz val="8"/>
      <color rgb="FF947131"/>
      <name val="Open Sans"/>
      <family val="2"/>
    </font>
    <font>
      <i/>
      <sz val="10"/>
      <color rgb="FF000000"/>
      <name val="Open Sans"/>
      <family val="2"/>
    </font>
    <font>
      <vertAlign val="superscript"/>
      <sz val="9"/>
      <color rgb="FF000000"/>
      <name val="Open Sans"/>
      <family val="2"/>
    </font>
    <font>
      <sz val="11"/>
      <color rgb="FF947131"/>
      <name val="Open Sans"/>
      <family val="2"/>
    </font>
    <font>
      <i/>
      <sz val="8"/>
      <color rgb="FF000000"/>
      <name val="Open Sans"/>
      <family val="2"/>
    </font>
    <font>
      <b/>
      <sz val="10"/>
      <color rgb="FF0070C0"/>
      <name val="Open Sans"/>
      <family val="2"/>
    </font>
    <font>
      <i/>
      <sz val="8"/>
      <color theme="1"/>
      <name val="Open Sans"/>
      <family val="2"/>
    </font>
    <font>
      <i/>
      <sz val="10"/>
      <color rgb="FF0070C0"/>
      <name val="Open Sans"/>
      <family val="2"/>
    </font>
    <font>
      <sz val="10"/>
      <name val="Bookman"/>
      <family val="1"/>
    </font>
    <font>
      <vertAlign val="superscript"/>
      <sz val="10"/>
      <color theme="1"/>
      <name val="Open Sans"/>
      <family val="2"/>
    </font>
    <font>
      <sz val="10"/>
      <color theme="0" tint="-0.14999847407452621"/>
      <name val="Open Sans"/>
      <family val="2"/>
    </font>
    <font>
      <vertAlign val="superscript"/>
      <sz val="10"/>
      <color rgb="FF000000"/>
      <name val="Open Sans"/>
      <family val="2"/>
    </font>
    <font>
      <i/>
      <sz val="9"/>
      <name val="Arial"/>
      <family val="2"/>
    </font>
    <font>
      <sz val="14"/>
      <color rgb="FF000000"/>
      <name val="Open Sans"/>
      <family val="2"/>
    </font>
    <font>
      <vertAlign val="superscript"/>
      <sz val="9"/>
      <name val="Open Sans"/>
      <family val="2"/>
    </font>
    <font>
      <i/>
      <sz val="8"/>
      <name val="Open Sans"/>
      <family val="2"/>
    </font>
    <font>
      <sz val="9"/>
      <name val="Open Sans"/>
      <family val="2"/>
    </font>
    <font>
      <sz val="10"/>
      <color theme="2"/>
      <name val="Open Sans"/>
      <family val="2"/>
    </font>
  </fonts>
  <fills count="7">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6F6F6"/>
        <bgColor rgb="FF000000"/>
      </patternFill>
    </fill>
    <fill>
      <patternFill patternType="solid">
        <fgColor theme="2"/>
        <bgColor indexed="64"/>
      </patternFill>
    </fill>
    <fill>
      <patternFill patternType="solid">
        <fgColor rgb="FF002060"/>
        <bgColor indexed="64"/>
      </patternFill>
    </fill>
  </fills>
  <borders count="39">
    <border>
      <left/>
      <right/>
      <top/>
      <bottom/>
      <diagonal/>
    </border>
    <border>
      <left/>
      <right/>
      <top style="medium">
        <color auto="1"/>
      </top>
      <bottom/>
      <diagonal/>
    </border>
    <border>
      <left/>
      <right/>
      <top style="thin">
        <color auto="1"/>
      </top>
      <bottom style="medium">
        <color auto="1"/>
      </bottom>
      <diagonal/>
    </border>
    <border>
      <left/>
      <right/>
      <top style="thin">
        <color auto="1"/>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thin">
        <color rgb="FF3271D2"/>
      </left>
      <right/>
      <top style="thin">
        <color rgb="FF3271D2"/>
      </top>
      <bottom/>
      <diagonal/>
    </border>
    <border>
      <left/>
      <right/>
      <top style="thin">
        <color rgb="FF3271D2"/>
      </top>
      <bottom/>
      <diagonal/>
    </border>
    <border>
      <left style="thin">
        <color rgb="FF3271D2"/>
      </left>
      <right style="thin">
        <color rgb="FF3271D2"/>
      </right>
      <top style="thin">
        <color rgb="FF3271D2"/>
      </top>
      <bottom/>
      <diagonal/>
    </border>
    <border>
      <left style="thin">
        <color rgb="FF3271D2"/>
      </left>
      <right/>
      <top/>
      <bottom/>
      <diagonal/>
    </border>
    <border>
      <left style="thin">
        <color rgb="FF3271D2"/>
      </left>
      <right style="thin">
        <color rgb="FF3271D2"/>
      </right>
      <top/>
      <bottom/>
      <diagonal/>
    </border>
    <border>
      <left style="thin">
        <color rgb="FF3271D2"/>
      </left>
      <right style="thin">
        <color rgb="FF3271D2"/>
      </right>
      <top/>
      <bottom style="medium">
        <color rgb="FF3271D2"/>
      </bottom>
      <diagonal/>
    </border>
    <border>
      <left/>
      <right/>
      <top style="medium">
        <color rgb="FF3271D2"/>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style="hair">
        <color rgb="FF000000"/>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6">
    <xf numFmtId="0" fontId="0" fillId="0" borderId="0"/>
    <xf numFmtId="43" fontId="8" fillId="0" borderId="0" applyFont="0" applyFill="0" applyBorder="0" applyAlignment="0" applyProtection="0"/>
    <xf numFmtId="9" fontId="8" fillId="0" borderId="0" applyFont="0" applyFill="0" applyBorder="0" applyAlignment="0" applyProtection="0"/>
    <xf numFmtId="0" fontId="20" fillId="0" borderId="0"/>
    <xf numFmtId="190" fontId="31" fillId="0" borderId="0" applyFont="0" applyFill="0" applyBorder="0" applyAlignment="0" applyProtection="0"/>
    <xf numFmtId="190" fontId="41" fillId="0" borderId="0" applyFont="0" applyFill="0" applyBorder="0" applyAlignment="0" applyProtection="0"/>
  </cellStyleXfs>
  <cellXfs count="365">
    <xf numFmtId="0" fontId="0" fillId="0" borderId="0" xfId="0"/>
    <xf numFmtId="164" fontId="2" fillId="0" borderId="0" xfId="0" applyNumberFormat="1" applyFont="1" applyAlignment="1">
      <alignment horizontal="right"/>
    </xf>
    <xf numFmtId="164" fontId="2" fillId="0" borderId="0" xfId="0" applyNumberFormat="1" applyFont="1"/>
    <xf numFmtId="165" fontId="2" fillId="0" borderId="0" xfId="0" applyNumberFormat="1" applyFont="1"/>
    <xf numFmtId="0" fontId="3" fillId="0" borderId="0" xfId="0" applyFont="1"/>
    <xf numFmtId="0" fontId="1" fillId="0" borderId="0" xfId="0" applyFont="1"/>
    <xf numFmtId="166" fontId="4" fillId="0" borderId="0" xfId="0" applyNumberFormat="1" applyFont="1"/>
    <xf numFmtId="0" fontId="0" fillId="0" borderId="0" xfId="0" applyAlignment="1">
      <alignment horizontal="left" indent="1"/>
    </xf>
    <xf numFmtId="0" fontId="5" fillId="0" borderId="0" xfId="0" applyFont="1"/>
    <xf numFmtId="0" fontId="5" fillId="0" borderId="0" xfId="0" applyFont="1" applyAlignment="1">
      <alignment horizontal="left" indent="1"/>
    </xf>
    <xf numFmtId="0" fontId="6" fillId="0" borderId="0" xfId="0" applyFont="1"/>
    <xf numFmtId="0" fontId="1" fillId="0" borderId="0" xfId="0" applyFont="1" applyAlignment="1">
      <alignment horizontal="left" indent="1"/>
    </xf>
    <xf numFmtId="0" fontId="7" fillId="0" borderId="0" xfId="0" applyFont="1"/>
    <xf numFmtId="166" fontId="1" fillId="0" borderId="0" xfId="0" applyNumberFormat="1" applyFont="1"/>
    <xf numFmtId="166" fontId="0" fillId="0" borderId="0" xfId="0" applyNumberFormat="1"/>
    <xf numFmtId="166" fontId="1" fillId="0" borderId="1" xfId="0" applyNumberFormat="1" applyFont="1" applyBorder="1"/>
    <xf numFmtId="166" fontId="1" fillId="0" borderId="2" xfId="0" applyNumberFormat="1" applyFont="1" applyBorder="1"/>
    <xf numFmtId="10" fontId="0" fillId="0" borderId="0" xfId="0" applyNumberFormat="1"/>
    <xf numFmtId="166" fontId="1" fillId="0" borderId="3" xfId="0" applyNumberFormat="1" applyFont="1" applyBorder="1"/>
    <xf numFmtId="49" fontId="0" fillId="0" borderId="0" xfId="0" applyNumberFormat="1"/>
    <xf numFmtId="10" fontId="1" fillId="0" borderId="0" xfId="0" applyNumberFormat="1" applyFont="1"/>
    <xf numFmtId="167" fontId="0" fillId="0" borderId="0" xfId="0" applyNumberFormat="1"/>
    <xf numFmtId="166" fontId="3" fillId="0" borderId="0" xfId="0" applyNumberFormat="1" applyFont="1"/>
    <xf numFmtId="168" fontId="0" fillId="0" borderId="0" xfId="0" applyNumberFormat="1"/>
    <xf numFmtId="168" fontId="0" fillId="0" borderId="0" xfId="0" applyNumberFormat="1" applyAlignment="1">
      <alignment horizontal="right"/>
    </xf>
    <xf numFmtId="168" fontId="4" fillId="0" borderId="0" xfId="0" applyNumberFormat="1" applyFont="1" applyAlignment="1">
      <alignment horizontal="right"/>
    </xf>
    <xf numFmtId="9" fontId="0" fillId="0" borderId="0" xfId="0" applyNumberFormat="1"/>
    <xf numFmtId="169" fontId="0" fillId="0" borderId="0" xfId="0" applyNumberFormat="1"/>
    <xf numFmtId="166" fontId="0" fillId="0" borderId="7" xfId="0" applyNumberFormat="1" applyBorder="1"/>
    <xf numFmtId="166" fontId="0" fillId="0" borderId="8" xfId="0" applyNumberFormat="1" applyBorder="1"/>
    <xf numFmtId="166" fontId="0" fillId="0" borderId="9" xfId="0" applyNumberFormat="1" applyBorder="1"/>
    <xf numFmtId="166" fontId="0" fillId="0" borderId="10" xfId="0" applyNumberFormat="1" applyBorder="1"/>
    <xf numFmtId="166" fontId="0" fillId="0" borderId="11" xfId="0" applyNumberFormat="1" applyBorder="1"/>
    <xf numFmtId="43" fontId="0" fillId="0" borderId="0" xfId="0" applyNumberFormat="1"/>
    <xf numFmtId="166" fontId="0" fillId="0" borderId="12" xfId="0" applyNumberFormat="1" applyBorder="1"/>
    <xf numFmtId="166" fontId="0" fillId="0" borderId="13" xfId="0" applyNumberFormat="1" applyBorder="1"/>
    <xf numFmtId="166" fontId="0" fillId="0" borderId="14" xfId="0" applyNumberFormat="1" applyBorder="1"/>
    <xf numFmtId="49" fontId="11" fillId="0" borderId="0" xfId="0" applyNumberFormat="1" applyFont="1" applyAlignment="1">
      <alignment horizontal="left"/>
    </xf>
    <xf numFmtId="0" fontId="0" fillId="0" borderId="4" xfId="0" applyBorder="1"/>
    <xf numFmtId="170" fontId="0" fillId="0" borderId="6" xfId="0" applyNumberFormat="1" applyBorder="1"/>
    <xf numFmtId="171" fontId="11" fillId="0" borderId="0" xfId="0" applyNumberFormat="1" applyFont="1" applyAlignment="1">
      <alignment horizontal="right"/>
    </xf>
    <xf numFmtId="0" fontId="0" fillId="0" borderId="9" xfId="0" applyBorder="1"/>
    <xf numFmtId="172" fontId="0" fillId="0" borderId="12" xfId="0" applyNumberFormat="1" applyBorder="1" applyAlignment="1">
      <alignment horizontal="right"/>
    </xf>
    <xf numFmtId="172" fontId="0" fillId="0" borderId="13" xfId="0" applyNumberFormat="1" applyBorder="1" applyAlignment="1">
      <alignment horizontal="right"/>
    </xf>
    <xf numFmtId="172" fontId="0" fillId="0" borderId="14" xfId="0" applyNumberFormat="1" applyBorder="1" applyAlignment="1">
      <alignment horizontal="right"/>
    </xf>
    <xf numFmtId="172" fontId="0" fillId="0" borderId="11" xfId="0" applyNumberFormat="1" applyBorder="1" applyAlignment="1">
      <alignment horizontal="right"/>
    </xf>
    <xf numFmtId="0" fontId="11" fillId="0" borderId="0" xfId="0" applyFont="1" applyAlignment="1">
      <alignment horizontal="left"/>
    </xf>
    <xf numFmtId="173" fontId="11" fillId="0" borderId="0" xfId="0" applyNumberFormat="1" applyFont="1" applyAlignment="1">
      <alignment horizontal="right"/>
    </xf>
    <xf numFmtId="174" fontId="1" fillId="2" borderId="0" xfId="0" applyNumberFormat="1" applyFont="1" applyFill="1"/>
    <xf numFmtId="174" fontId="11" fillId="0" borderId="15" xfId="0" applyNumberFormat="1" applyFont="1" applyBorder="1" applyAlignment="1">
      <alignment horizontal="left"/>
    </xf>
    <xf numFmtId="175" fontId="13" fillId="0" borderId="16" xfId="0" applyNumberFormat="1" applyFont="1" applyBorder="1" applyAlignment="1">
      <alignment horizontal="left"/>
    </xf>
    <xf numFmtId="176" fontId="14" fillId="0" borderId="17" xfId="0" applyNumberFormat="1" applyFont="1" applyBorder="1" applyAlignment="1">
      <alignment horizontal="left"/>
    </xf>
    <xf numFmtId="172" fontId="13" fillId="0" borderId="16" xfId="0" applyNumberFormat="1" applyFont="1" applyBorder="1" applyAlignment="1">
      <alignment horizontal="right"/>
    </xf>
    <xf numFmtId="174" fontId="11" fillId="0" borderId="18" xfId="0" applyNumberFormat="1" applyFont="1" applyBorder="1" applyAlignment="1">
      <alignment horizontal="left"/>
    </xf>
    <xf numFmtId="176" fontId="14" fillId="0" borderId="19" xfId="0" applyNumberFormat="1" applyFont="1" applyBorder="1" applyAlignment="1">
      <alignment horizontal="left"/>
    </xf>
    <xf numFmtId="172" fontId="13" fillId="0" borderId="0" xfId="0" applyNumberFormat="1" applyFont="1" applyAlignment="1">
      <alignment horizontal="right"/>
    </xf>
    <xf numFmtId="172" fontId="13" fillId="0" borderId="19" xfId="0" applyNumberFormat="1" applyFont="1" applyBorder="1" applyAlignment="1">
      <alignment horizontal="right"/>
    </xf>
    <xf numFmtId="174" fontId="11" fillId="0" borderId="20" xfId="0" applyNumberFormat="1" applyFont="1" applyBorder="1" applyAlignment="1">
      <alignment horizontal="left"/>
    </xf>
    <xf numFmtId="175" fontId="13" fillId="0" borderId="21" xfId="0" applyNumberFormat="1" applyFont="1" applyBorder="1" applyAlignment="1">
      <alignment horizontal="left"/>
    </xf>
    <xf numFmtId="176" fontId="14" fillId="0" borderId="22" xfId="0" applyNumberFormat="1" applyFont="1" applyBorder="1" applyAlignment="1">
      <alignment horizontal="left"/>
    </xf>
    <xf numFmtId="172" fontId="13" fillId="0" borderId="21" xfId="0" applyNumberFormat="1" applyFont="1" applyBorder="1" applyAlignment="1">
      <alignment horizontal="right"/>
    </xf>
    <xf numFmtId="172" fontId="13" fillId="0" borderId="22" xfId="0" applyNumberFormat="1" applyFont="1" applyBorder="1" applyAlignment="1">
      <alignment horizontal="right"/>
    </xf>
    <xf numFmtId="176" fontId="11" fillId="0" borderId="0" xfId="0" applyNumberFormat="1" applyFont="1" applyAlignment="1">
      <alignment horizontal="right"/>
    </xf>
    <xf numFmtId="0" fontId="11" fillId="0" borderId="0" xfId="0" applyFont="1" applyAlignment="1">
      <alignment horizontal="centerContinuous"/>
    </xf>
    <xf numFmtId="176" fontId="11" fillId="0" borderId="0" xfId="0" applyNumberFormat="1" applyFont="1" applyAlignment="1">
      <alignment horizontal="centerContinuous"/>
    </xf>
    <xf numFmtId="37" fontId="0" fillId="0" borderId="0" xfId="0" applyNumberFormat="1" applyAlignment="1">
      <alignment horizontal="centerContinuous" vertical="center"/>
    </xf>
    <xf numFmtId="177" fontId="13" fillId="0" borderId="16" xfId="0" applyNumberFormat="1" applyFont="1" applyBorder="1" applyAlignment="1">
      <alignment horizontal="left"/>
    </xf>
    <xf numFmtId="177" fontId="13" fillId="0" borderId="17" xfId="0" applyNumberFormat="1" applyFont="1" applyBorder="1" applyAlignment="1">
      <alignment horizontal="left"/>
    </xf>
    <xf numFmtId="178" fontId="13" fillId="0" borderId="16" xfId="0" applyNumberFormat="1" applyFont="1" applyBorder="1" applyAlignment="1">
      <alignment horizontal="right"/>
    </xf>
    <xf numFmtId="178" fontId="13" fillId="0" borderId="17" xfId="0" applyNumberFormat="1" applyFont="1" applyBorder="1" applyAlignment="1">
      <alignment horizontal="right"/>
    </xf>
    <xf numFmtId="177" fontId="13" fillId="0" borderId="0" xfId="0" applyNumberFormat="1" applyFont="1" applyAlignment="1">
      <alignment horizontal="left"/>
    </xf>
    <xf numFmtId="177" fontId="13" fillId="0" borderId="19" xfId="0" applyNumberFormat="1" applyFont="1" applyBorder="1" applyAlignment="1">
      <alignment horizontal="left"/>
    </xf>
    <xf numFmtId="178" fontId="13" fillId="0" borderId="0" xfId="0" applyNumberFormat="1" applyFont="1" applyAlignment="1">
      <alignment horizontal="right"/>
    </xf>
    <xf numFmtId="178" fontId="13" fillId="0" borderId="19" xfId="0" applyNumberFormat="1" applyFont="1" applyBorder="1" applyAlignment="1">
      <alignment horizontal="right"/>
    </xf>
    <xf numFmtId="177" fontId="13" fillId="0" borderId="21" xfId="0" applyNumberFormat="1" applyFont="1" applyBorder="1" applyAlignment="1">
      <alignment horizontal="left"/>
    </xf>
    <xf numFmtId="177" fontId="13" fillId="0" borderId="22" xfId="0" applyNumberFormat="1" applyFont="1" applyBorder="1" applyAlignment="1">
      <alignment horizontal="left"/>
    </xf>
    <xf numFmtId="178" fontId="13" fillId="0" borderId="21" xfId="0" applyNumberFormat="1" applyFont="1" applyBorder="1" applyAlignment="1">
      <alignment horizontal="right"/>
    </xf>
    <xf numFmtId="178" fontId="13" fillId="0" borderId="22" xfId="0" applyNumberFormat="1" applyFont="1" applyBorder="1" applyAlignment="1">
      <alignment horizontal="right"/>
    </xf>
    <xf numFmtId="178" fontId="0" fillId="0" borderId="0" xfId="0" applyNumberFormat="1"/>
    <xf numFmtId="179" fontId="14" fillId="0" borderId="0" xfId="0" quotePrefix="1" applyNumberFormat="1" applyFont="1" applyAlignment="1">
      <alignment horizontal="right"/>
    </xf>
    <xf numFmtId="180" fontId="14" fillId="0" borderId="0" xfId="0" quotePrefix="1" applyNumberFormat="1" applyFont="1" applyAlignment="1">
      <alignment horizontal="right"/>
    </xf>
    <xf numFmtId="172" fontId="13" fillId="0" borderId="6" xfId="0" applyNumberFormat="1" applyFont="1" applyBorder="1" applyAlignment="1">
      <alignment horizontal="right"/>
    </xf>
    <xf numFmtId="172" fontId="13" fillId="0" borderId="11" xfId="0" applyNumberFormat="1" applyFont="1" applyBorder="1" applyAlignment="1">
      <alignment horizontal="right"/>
    </xf>
    <xf numFmtId="170" fontId="0" fillId="0" borderId="0" xfId="0" applyNumberFormat="1"/>
    <xf numFmtId="178" fontId="13" fillId="0" borderId="0" xfId="0" applyNumberFormat="1" applyFont="1"/>
    <xf numFmtId="169" fontId="1" fillId="0" borderId="0" xfId="0" applyNumberFormat="1" applyFont="1"/>
    <xf numFmtId="181" fontId="0" fillId="0" borderId="0" xfId="0" applyNumberFormat="1"/>
    <xf numFmtId="0" fontId="13" fillId="0" borderId="15" xfId="0" applyFont="1" applyBorder="1" applyAlignment="1">
      <alignment horizontal="left"/>
    </xf>
    <xf numFmtId="37" fontId="15" fillId="0" borderId="16" xfId="0" applyNumberFormat="1" applyFont="1" applyBorder="1" applyAlignment="1">
      <alignment vertical="center"/>
    </xf>
    <xf numFmtId="182" fontId="13" fillId="0" borderId="17" xfId="2" applyNumberFormat="1" applyFont="1" applyFill="1" applyBorder="1" applyAlignment="1"/>
    <xf numFmtId="49" fontId="13" fillId="0" borderId="20" xfId="0" applyNumberFormat="1" applyFont="1" applyBorder="1" applyAlignment="1">
      <alignment horizontal="left"/>
    </xf>
    <xf numFmtId="37" fontId="9" fillId="0" borderId="21" xfId="0" applyNumberFormat="1" applyFont="1" applyBorder="1" applyAlignment="1">
      <alignment vertical="center"/>
    </xf>
    <xf numFmtId="181" fontId="13" fillId="0" borderId="22" xfId="0" applyNumberFormat="1" applyFont="1" applyBorder="1" applyAlignment="1">
      <alignment horizontal="right"/>
    </xf>
    <xf numFmtId="178" fontId="16" fillId="0" borderId="0" xfId="0" applyNumberFormat="1" applyFont="1"/>
    <xf numFmtId="183" fontId="17" fillId="0" borderId="0" xfId="0" applyNumberFormat="1" applyFont="1" applyAlignment="1">
      <alignment vertical="center"/>
    </xf>
    <xf numFmtId="37" fontId="9" fillId="0" borderId="0" xfId="0" applyNumberFormat="1" applyFont="1" applyAlignment="1">
      <alignment vertical="center"/>
    </xf>
    <xf numFmtId="182" fontId="18" fillId="0" borderId="0" xfId="2" applyNumberFormat="1" applyFont="1" applyBorder="1"/>
    <xf numFmtId="178" fontId="11" fillId="0" borderId="0" xfId="0" applyNumberFormat="1" applyFont="1" applyAlignment="1">
      <alignment horizontal="right"/>
    </xf>
    <xf numFmtId="178" fontId="13" fillId="0" borderId="21" xfId="0" applyNumberFormat="1" applyFont="1" applyBorder="1"/>
    <xf numFmtId="178" fontId="11" fillId="0" borderId="21" xfId="0" applyNumberFormat="1" applyFont="1" applyBorder="1" applyAlignment="1">
      <alignment horizontal="right"/>
    </xf>
    <xf numFmtId="178" fontId="14" fillId="0" borderId="0" xfId="0" applyNumberFormat="1" applyFont="1"/>
    <xf numFmtId="0" fontId="14" fillId="0" borderId="0" xfId="0" applyFont="1" applyAlignment="1">
      <alignment horizontal="left" indent="1"/>
    </xf>
    <xf numFmtId="177" fontId="13" fillId="0" borderId="0" xfId="0" applyNumberFormat="1" applyFont="1"/>
    <xf numFmtId="0" fontId="11" fillId="0" borderId="0" xfId="0" applyFont="1"/>
    <xf numFmtId="0" fontId="14" fillId="0" borderId="0" xfId="0" applyFont="1"/>
    <xf numFmtId="184" fontId="14" fillId="0" borderId="0" xfId="0" applyNumberFormat="1" applyFont="1"/>
    <xf numFmtId="185" fontId="14" fillId="0" borderId="0" xfId="2" applyNumberFormat="1" applyFont="1" applyFill="1" applyBorder="1" applyAlignment="1">
      <alignment horizontal="right"/>
    </xf>
    <xf numFmtId="185" fontId="13" fillId="0" borderId="0" xfId="2" applyNumberFormat="1" applyFont="1" applyFill="1" applyBorder="1" applyAlignment="1">
      <alignment horizontal="right"/>
    </xf>
    <xf numFmtId="37" fontId="0" fillId="0" borderId="0" xfId="0" applyNumberFormat="1" applyAlignment="1">
      <alignment vertical="center"/>
    </xf>
    <xf numFmtId="178" fontId="13" fillId="3" borderId="0" xfId="0" applyNumberFormat="1" applyFont="1" applyFill="1"/>
    <xf numFmtId="178" fontId="11" fillId="3" borderId="21" xfId="0" applyNumberFormat="1" applyFont="1" applyFill="1" applyBorder="1" applyAlignment="1">
      <alignment horizontal="right"/>
    </xf>
    <xf numFmtId="178" fontId="13" fillId="3" borderId="21" xfId="0" applyNumberFormat="1" applyFont="1" applyFill="1" applyBorder="1"/>
    <xf numFmtId="0" fontId="0" fillId="3" borderId="0" xfId="0" applyFill="1"/>
    <xf numFmtId="178" fontId="11" fillId="3" borderId="0" xfId="0" applyNumberFormat="1" applyFont="1" applyFill="1" applyAlignment="1">
      <alignment horizontal="right"/>
    </xf>
    <xf numFmtId="185" fontId="13" fillId="3" borderId="21" xfId="0" applyNumberFormat="1" applyFont="1" applyFill="1" applyBorder="1" applyAlignment="1">
      <alignment horizontal="right"/>
    </xf>
    <xf numFmtId="186" fontId="21" fillId="0" borderId="0" xfId="3" applyNumberFormat="1" applyFont="1" applyAlignment="1" applyProtection="1">
      <alignment horizontal="center" vertical="center"/>
      <protection hidden="1"/>
    </xf>
    <xf numFmtId="0" fontId="0" fillId="0" borderId="21" xfId="0" applyBorder="1"/>
    <xf numFmtId="178" fontId="13" fillId="2" borderId="0" xfId="0" applyNumberFormat="1" applyFont="1" applyFill="1"/>
    <xf numFmtId="178" fontId="11" fillId="2" borderId="21" xfId="0" applyNumberFormat="1" applyFont="1" applyFill="1" applyBorder="1" applyAlignment="1">
      <alignment horizontal="right"/>
    </xf>
    <xf numFmtId="178" fontId="13" fillId="2" borderId="21" xfId="0" applyNumberFormat="1" applyFont="1" applyFill="1" applyBorder="1"/>
    <xf numFmtId="0" fontId="0" fillId="2" borderId="0" xfId="0" applyFill="1"/>
    <xf numFmtId="178" fontId="11" fillId="2" borderId="0" xfId="0" applyNumberFormat="1" applyFont="1" applyFill="1" applyAlignment="1">
      <alignment horizontal="right"/>
    </xf>
    <xf numFmtId="185" fontId="13" fillId="2" borderId="21" xfId="0" applyNumberFormat="1" applyFont="1" applyFill="1" applyBorder="1" applyAlignment="1">
      <alignment horizontal="right"/>
    </xf>
    <xf numFmtId="185" fontId="13" fillId="0" borderId="21" xfId="0" applyNumberFormat="1" applyFont="1" applyBorder="1" applyAlignment="1">
      <alignment horizontal="right"/>
    </xf>
    <xf numFmtId="178" fontId="13" fillId="2" borderId="5" xfId="0" applyNumberFormat="1" applyFont="1" applyFill="1" applyBorder="1"/>
    <xf numFmtId="166" fontId="0" fillId="0" borderId="5" xfId="0" applyNumberFormat="1" applyBorder="1"/>
    <xf numFmtId="187" fontId="4" fillId="0" borderId="0" xfId="0" applyNumberFormat="1" applyFont="1"/>
    <xf numFmtId="166" fontId="0" fillId="0" borderId="6" xfId="0" applyNumberFormat="1" applyBorder="1"/>
    <xf numFmtId="0" fontId="0" fillId="0" borderId="7" xfId="0" applyBorder="1"/>
    <xf numFmtId="168" fontId="0" fillId="0" borderId="11" xfId="0" applyNumberFormat="1" applyBorder="1" applyAlignment="1">
      <alignment horizontal="right"/>
    </xf>
    <xf numFmtId="0" fontId="0" fillId="0" borderId="5" xfId="0" applyBorder="1"/>
    <xf numFmtId="183" fontId="22" fillId="0" borderId="0" xfId="0" applyNumberFormat="1" applyFont="1" applyAlignment="1">
      <alignment vertical="center"/>
    </xf>
    <xf numFmtId="37" fontId="10" fillId="0" borderId="0" xfId="0" applyNumberFormat="1" applyFont="1" applyAlignment="1">
      <alignment vertical="center"/>
    </xf>
    <xf numFmtId="37" fontId="23" fillId="0" borderId="0" xfId="0" applyNumberFormat="1" applyFont="1" applyAlignment="1">
      <alignment vertical="center"/>
    </xf>
    <xf numFmtId="0" fontId="14" fillId="0" borderId="15" xfId="0" applyFont="1" applyBorder="1" applyAlignment="1">
      <alignment horizontal="left"/>
    </xf>
    <xf numFmtId="173" fontId="9" fillId="0" borderId="0" xfId="0" applyNumberFormat="1" applyFont="1" applyAlignment="1">
      <alignment horizontal="right"/>
    </xf>
    <xf numFmtId="178" fontId="24" fillId="0" borderId="23" xfId="0" applyNumberFormat="1" applyFont="1" applyBorder="1" applyAlignment="1">
      <alignment horizontal="center"/>
    </xf>
    <xf numFmtId="178" fontId="24" fillId="0" borderId="23" xfId="0" applyNumberFormat="1" applyFont="1" applyBorder="1" applyAlignment="1">
      <alignment horizontal="centerContinuous"/>
    </xf>
    <xf numFmtId="173" fontId="24" fillId="0" borderId="24" xfId="0" applyNumberFormat="1" applyFont="1" applyBorder="1" applyAlignment="1">
      <alignment horizontal="centerContinuous"/>
    </xf>
    <xf numFmtId="178" fontId="24" fillId="0" borderId="25" xfId="0" applyNumberFormat="1" applyFont="1" applyBorder="1" applyAlignment="1">
      <alignment horizontal="center"/>
    </xf>
    <xf numFmtId="0" fontId="14" fillId="0" borderId="20" xfId="0" applyFont="1" applyBorder="1" applyAlignment="1">
      <alignment horizontal="left"/>
    </xf>
    <xf numFmtId="185" fontId="13" fillId="0" borderId="22" xfId="2" applyNumberFormat="1" applyFont="1" applyFill="1" applyBorder="1" applyAlignment="1">
      <alignment horizontal="right"/>
    </xf>
    <xf numFmtId="0" fontId="25" fillId="0" borderId="23" xfId="0" applyFont="1" applyBorder="1" applyAlignment="1">
      <alignment horizontal="center"/>
    </xf>
    <xf numFmtId="0" fontId="25" fillId="0" borderId="24" xfId="0" applyFont="1" applyBorder="1" applyAlignment="1">
      <alignment horizontal="center"/>
    </xf>
    <xf numFmtId="0" fontId="25" fillId="0" borderId="25" xfId="0" applyFont="1" applyBorder="1" applyAlignment="1">
      <alignment horizontal="center"/>
    </xf>
    <xf numFmtId="178" fontId="24" fillId="0" borderId="0" xfId="0" applyNumberFormat="1" applyFont="1" applyAlignment="1">
      <alignment horizontal="left"/>
    </xf>
    <xf numFmtId="188" fontId="13" fillId="0" borderId="26" xfId="0" applyNumberFormat="1" applyFont="1" applyBorder="1" applyAlignment="1">
      <alignment horizontal="center"/>
    </xf>
    <xf numFmtId="188" fontId="13" fillId="4" borderId="0" xfId="0" applyNumberFormat="1" applyFont="1" applyFill="1" applyAlignment="1">
      <alignment horizontal="center"/>
    </xf>
    <xf numFmtId="188" fontId="13" fillId="4" borderId="27" xfId="0" applyNumberFormat="1" applyFont="1" applyFill="1" applyBorder="1" applyAlignment="1">
      <alignment horizontal="center"/>
    </xf>
    <xf numFmtId="188" fontId="13" fillId="4" borderId="28" xfId="0" applyNumberFormat="1" applyFont="1" applyFill="1" applyBorder="1" applyAlignment="1">
      <alignment horizontal="center"/>
    </xf>
    <xf numFmtId="37" fontId="26" fillId="0" borderId="0" xfId="0" applyNumberFormat="1" applyFont="1" applyAlignment="1">
      <alignment vertical="center"/>
    </xf>
    <xf numFmtId="173" fontId="9" fillId="0" borderId="29" xfId="0" applyNumberFormat="1" applyFont="1" applyBorder="1" applyAlignment="1">
      <alignment horizontal="right"/>
    </xf>
    <xf numFmtId="0" fontId="14" fillId="0" borderId="0" xfId="0" applyFont="1" applyAlignment="1">
      <alignment horizontal="left"/>
    </xf>
    <xf numFmtId="178" fontId="13" fillId="0" borderId="30" xfId="0" applyNumberFormat="1" applyFont="1" applyBorder="1"/>
    <xf numFmtId="0" fontId="27" fillId="0" borderId="0" xfId="0" applyFont="1"/>
    <xf numFmtId="0" fontId="13" fillId="0" borderId="0" xfId="0" applyFont="1" applyAlignment="1">
      <alignment horizontal="left" indent="1"/>
    </xf>
    <xf numFmtId="189" fontId="28" fillId="0" borderId="0" xfId="2" applyNumberFormat="1" applyFont="1" applyFill="1" applyBorder="1" applyAlignment="1">
      <alignment horizontal="right"/>
    </xf>
    <xf numFmtId="178" fontId="29" fillId="0" borderId="0" xfId="0" applyNumberFormat="1" applyFont="1" applyAlignment="1">
      <alignment horizontal="right"/>
    </xf>
    <xf numFmtId="177" fontId="29" fillId="0" borderId="0" xfId="0" applyNumberFormat="1" applyFont="1"/>
    <xf numFmtId="178" fontId="29" fillId="0" borderId="21" xfId="0" applyNumberFormat="1" applyFont="1" applyBorder="1" applyAlignment="1">
      <alignment horizontal="right"/>
    </xf>
    <xf numFmtId="173" fontId="14" fillId="0" borderId="0" xfId="0" applyNumberFormat="1" applyFont="1" applyAlignment="1">
      <alignment horizontal="right"/>
    </xf>
    <xf numFmtId="177" fontId="30" fillId="0" borderId="0" xfId="0" applyNumberFormat="1" applyFont="1"/>
    <xf numFmtId="185" fontId="13" fillId="0" borderId="0" xfId="4" applyNumberFormat="1" applyFont="1" applyFill="1" applyBorder="1" applyAlignment="1">
      <alignment horizontal="right"/>
    </xf>
    <xf numFmtId="191" fontId="29" fillId="0" borderId="0" xfId="0" applyNumberFormat="1" applyFont="1"/>
    <xf numFmtId="191" fontId="13" fillId="0" borderId="0" xfId="0" applyNumberFormat="1" applyFont="1"/>
    <xf numFmtId="178" fontId="29" fillId="0" borderId="0" xfId="0" applyNumberFormat="1" applyFont="1"/>
    <xf numFmtId="0" fontId="32" fillId="0" borderId="0" xfId="0" applyFont="1"/>
    <xf numFmtId="0" fontId="30" fillId="0" borderId="0" xfId="0" applyFont="1" applyAlignment="1">
      <alignment horizontal="left"/>
    </xf>
    <xf numFmtId="0" fontId="32" fillId="0" borderId="0" xfId="0" applyFont="1" applyAlignment="1">
      <alignment horizontal="center"/>
    </xf>
    <xf numFmtId="0" fontId="13" fillId="0" borderId="15" xfId="0" applyFont="1" applyBorder="1" applyAlignment="1">
      <alignment horizontal="left" indent="1"/>
    </xf>
    <xf numFmtId="0" fontId="32" fillId="0" borderId="16" xfId="0" applyFont="1" applyBorder="1"/>
    <xf numFmtId="186" fontId="33" fillId="0" borderId="0" xfId="3" applyNumberFormat="1" applyFont="1" applyAlignment="1" applyProtection="1">
      <alignment horizontal="center" vertical="center"/>
      <protection hidden="1"/>
    </xf>
    <xf numFmtId="0" fontId="13" fillId="0" borderId="20" xfId="0" applyFont="1" applyBorder="1" applyAlignment="1">
      <alignment horizontal="left" indent="1"/>
    </xf>
    <xf numFmtId="0" fontId="32" fillId="0" borderId="21" xfId="0" applyFont="1" applyBorder="1"/>
    <xf numFmtId="0" fontId="13" fillId="0" borderId="18" xfId="0" applyFont="1" applyBorder="1" applyAlignment="1">
      <alignment horizontal="left" indent="1"/>
    </xf>
    <xf numFmtId="0" fontId="36" fillId="0" borderId="0" xfId="0" applyFont="1"/>
    <xf numFmtId="0" fontId="37" fillId="0" borderId="0" xfId="0" quotePrefix="1" applyFont="1" applyAlignment="1">
      <alignment horizontal="right"/>
    </xf>
    <xf numFmtId="0" fontId="37" fillId="0" borderId="0" xfId="0" applyFont="1" applyAlignment="1">
      <alignment horizontal="right"/>
    </xf>
    <xf numFmtId="168" fontId="14" fillId="0" borderId="0" xfId="0" applyNumberFormat="1" applyFont="1" applyAlignment="1">
      <alignment horizontal="right"/>
    </xf>
    <xf numFmtId="0" fontId="7" fillId="5" borderId="0" xfId="0" applyFont="1" applyFill="1"/>
    <xf numFmtId="0" fontId="3" fillId="5" borderId="0" xfId="0" applyFont="1" applyFill="1"/>
    <xf numFmtId="166" fontId="3" fillId="5" borderId="0" xfId="0" applyNumberFormat="1" applyFont="1" applyFill="1"/>
    <xf numFmtId="165" fontId="0" fillId="0" borderId="0" xfId="0" applyNumberFormat="1"/>
    <xf numFmtId="166" fontId="38" fillId="0" borderId="0" xfId="0" applyNumberFormat="1" applyFont="1"/>
    <xf numFmtId="2" fontId="0" fillId="0" borderId="0" xfId="0" applyNumberFormat="1"/>
    <xf numFmtId="1" fontId="0" fillId="0" borderId="0" xfId="0" applyNumberFormat="1"/>
    <xf numFmtId="0" fontId="4" fillId="0" borderId="0" xfId="0" applyFont="1"/>
    <xf numFmtId="0" fontId="0" fillId="0" borderId="0" xfId="0" applyAlignment="1">
      <alignment horizontal="left"/>
    </xf>
    <xf numFmtId="0" fontId="4" fillId="0" borderId="4" xfId="0" applyFont="1" applyBorder="1"/>
    <xf numFmtId="0" fontId="4" fillId="0" borderId="5" xfId="0" applyFont="1" applyBorder="1"/>
    <xf numFmtId="0" fontId="4" fillId="0" borderId="6" xfId="0" applyFont="1" applyBorder="1"/>
    <xf numFmtId="49" fontId="14" fillId="0" borderId="0" xfId="0" applyNumberFormat="1" applyFont="1" applyAlignment="1">
      <alignment horizontal="left"/>
    </xf>
    <xf numFmtId="175" fontId="13" fillId="0" borderId="0" xfId="0" applyNumberFormat="1" applyFont="1" applyAlignment="1">
      <alignment horizontal="left"/>
    </xf>
    <xf numFmtId="172" fontId="13" fillId="0" borderId="17" xfId="0" applyNumberFormat="1" applyFont="1" applyBorder="1" applyAlignment="1">
      <alignment horizontal="right"/>
    </xf>
    <xf numFmtId="0" fontId="0" fillId="0" borderId="10" xfId="0" applyBorder="1"/>
    <xf numFmtId="168" fontId="29" fillId="0" borderId="0" xfId="2" applyNumberFormat="1" applyFont="1" applyFill="1" applyBorder="1" applyAlignment="1">
      <alignment vertical="center"/>
    </xf>
    <xf numFmtId="185" fontId="29" fillId="0" borderId="0" xfId="2" applyNumberFormat="1" applyFont="1" applyFill="1" applyBorder="1" applyAlignment="1">
      <alignment vertical="center"/>
    </xf>
    <xf numFmtId="170" fontId="4" fillId="0" borderId="0" xfId="0" applyNumberFormat="1" applyFont="1"/>
    <xf numFmtId="0" fontId="39" fillId="0" borderId="0" xfId="0" applyFont="1"/>
    <xf numFmtId="0" fontId="1" fillId="0" borderId="0" xfId="0" applyFont="1" applyAlignment="1">
      <alignment horizontal="left"/>
    </xf>
    <xf numFmtId="0" fontId="8" fillId="0" borderId="0" xfId="0" applyFont="1"/>
    <xf numFmtId="0" fontId="0" fillId="0" borderId="0" xfId="0" applyAlignment="1">
      <alignment horizontal="left" vertical="center"/>
    </xf>
    <xf numFmtId="0" fontId="8" fillId="0" borderId="0" xfId="0" applyFont="1" applyAlignment="1">
      <alignment vertical="center"/>
    </xf>
    <xf numFmtId="172" fontId="0" fillId="0" borderId="0" xfId="0" applyNumberFormat="1" applyAlignment="1">
      <alignment horizontal="right"/>
    </xf>
    <xf numFmtId="49" fontId="8" fillId="0" borderId="0" xfId="0" applyNumberFormat="1" applyFont="1" applyAlignment="1">
      <alignment vertical="center"/>
    </xf>
    <xf numFmtId="192" fontId="4" fillId="0" borderId="0" xfId="0" applyNumberFormat="1" applyFont="1" applyAlignment="1">
      <alignment vertical="center"/>
    </xf>
    <xf numFmtId="185" fontId="13" fillId="0" borderId="0" xfId="0" applyNumberFormat="1" applyFont="1"/>
    <xf numFmtId="185" fontId="14" fillId="0" borderId="0" xfId="0" applyNumberFormat="1" applyFont="1"/>
    <xf numFmtId="0" fontId="40" fillId="0" borderId="0" xfId="0" applyFont="1"/>
    <xf numFmtId="193" fontId="3" fillId="0" borderId="0" xfId="0" applyNumberFormat="1" applyFont="1"/>
    <xf numFmtId="194" fontId="27" fillId="0" borderId="0" xfId="5" applyNumberFormat="1" applyFont="1" applyProtection="1">
      <protection locked="0"/>
    </xf>
    <xf numFmtId="49" fontId="1" fillId="0" borderId="0" xfId="0" applyNumberFormat="1" applyFont="1" applyAlignment="1">
      <alignment vertical="center"/>
    </xf>
    <xf numFmtId="0" fontId="39" fillId="0" borderId="0" xfId="0" quotePrefix="1" applyFont="1" applyAlignment="1">
      <alignment horizontal="center" vertical="center"/>
    </xf>
    <xf numFmtId="0" fontId="37" fillId="0" borderId="0" xfId="0" quotePrefix="1" applyFont="1" applyAlignment="1">
      <alignment horizontal="center" vertical="center"/>
    </xf>
    <xf numFmtId="0" fontId="8" fillId="0" borderId="0" xfId="0" applyFont="1" applyAlignment="1">
      <alignment horizontal="left" vertical="center"/>
    </xf>
    <xf numFmtId="178" fontId="30" fillId="3" borderId="0" xfId="0" applyNumberFormat="1" applyFont="1" applyFill="1"/>
    <xf numFmtId="178" fontId="30" fillId="2" borderId="0" xfId="0" applyNumberFormat="1" applyFont="1" applyFill="1"/>
    <xf numFmtId="0" fontId="14" fillId="0" borderId="5" xfId="0" applyFont="1" applyBorder="1" applyAlignment="1">
      <alignment horizontal="left" indent="1"/>
    </xf>
    <xf numFmtId="37" fontId="9" fillId="0" borderId="5" xfId="0" applyNumberFormat="1" applyFont="1" applyBorder="1" applyAlignment="1">
      <alignment vertical="center"/>
    </xf>
    <xf numFmtId="173" fontId="11" fillId="0" borderId="5" xfId="0" applyNumberFormat="1" applyFont="1" applyBorder="1" applyAlignment="1">
      <alignment horizontal="right"/>
    </xf>
    <xf numFmtId="178" fontId="14" fillId="0" borderId="5" xfId="0" applyNumberFormat="1" applyFont="1" applyBorder="1"/>
    <xf numFmtId="178" fontId="13" fillId="0" borderId="5" xfId="0" applyNumberFormat="1" applyFont="1" applyBorder="1"/>
    <xf numFmtId="0" fontId="1" fillId="0" borderId="3" xfId="0" applyFont="1" applyBorder="1"/>
    <xf numFmtId="0" fontId="0" fillId="0" borderId="0" xfId="0" applyAlignment="1">
      <alignment horizontal="left" indent="2"/>
    </xf>
    <xf numFmtId="0" fontId="1" fillId="0" borderId="0" xfId="0" applyFont="1" applyAlignment="1">
      <alignment horizontal="left" indent="2"/>
    </xf>
    <xf numFmtId="178" fontId="30" fillId="2" borderId="5" xfId="0" applyNumberFormat="1" applyFont="1" applyFill="1" applyBorder="1"/>
    <xf numFmtId="178" fontId="30" fillId="2" borderId="16" xfId="0" applyNumberFormat="1" applyFont="1" applyFill="1" applyBorder="1" applyAlignment="1">
      <alignment horizontal="right" vertical="center"/>
    </xf>
    <xf numFmtId="166" fontId="1" fillId="0" borderId="5" xfId="0" applyNumberFormat="1" applyFont="1" applyBorder="1"/>
    <xf numFmtId="178" fontId="30" fillId="0" borderId="5" xfId="0" applyNumberFormat="1" applyFont="1" applyBorder="1" applyAlignment="1">
      <alignment horizontal="right" vertical="center"/>
    </xf>
    <xf numFmtId="169" fontId="1" fillId="0" borderId="5" xfId="0" applyNumberFormat="1" applyFont="1" applyBorder="1"/>
    <xf numFmtId="178" fontId="1" fillId="0" borderId="5" xfId="0" applyNumberFormat="1" applyFont="1" applyBorder="1"/>
    <xf numFmtId="166" fontId="38" fillId="0" borderId="5" xfId="0" applyNumberFormat="1" applyFont="1" applyBorder="1"/>
    <xf numFmtId="178" fontId="13" fillId="3" borderId="31" xfId="0" applyNumberFormat="1" applyFont="1" applyFill="1" applyBorder="1"/>
    <xf numFmtId="178" fontId="13" fillId="3" borderId="32" xfId="0" applyNumberFormat="1" applyFont="1" applyFill="1" applyBorder="1"/>
    <xf numFmtId="178" fontId="13" fillId="3" borderId="0" xfId="0" applyNumberFormat="1" applyFont="1" applyFill="1" applyAlignment="1">
      <alignment horizontal="right"/>
    </xf>
    <xf numFmtId="178" fontId="29" fillId="3" borderId="21" xfId="0" applyNumberFormat="1" applyFont="1" applyFill="1" applyBorder="1" applyAlignment="1">
      <alignment horizontal="right"/>
    </xf>
    <xf numFmtId="178" fontId="13" fillId="3" borderId="21" xfId="0" applyNumberFormat="1" applyFont="1" applyFill="1" applyBorder="1" applyAlignment="1">
      <alignment horizontal="right"/>
    </xf>
    <xf numFmtId="177" fontId="30" fillId="3" borderId="0" xfId="0" applyNumberFormat="1" applyFont="1" applyFill="1"/>
    <xf numFmtId="0" fontId="27" fillId="3" borderId="0" xfId="0" applyFont="1" applyFill="1"/>
    <xf numFmtId="176" fontId="11" fillId="3" borderId="0" xfId="0" applyNumberFormat="1" applyFont="1" applyFill="1" applyAlignment="1">
      <alignment horizontal="right"/>
    </xf>
    <xf numFmtId="185" fontId="13" fillId="3" borderId="0" xfId="4" applyNumberFormat="1" applyFont="1" applyFill="1" applyBorder="1" applyAlignment="1">
      <alignment horizontal="right"/>
    </xf>
    <xf numFmtId="191" fontId="13" fillId="3" borderId="0" xfId="0" applyNumberFormat="1" applyFont="1" applyFill="1"/>
    <xf numFmtId="178" fontId="13" fillId="3" borderId="17" xfId="0" applyNumberFormat="1" applyFont="1" applyFill="1" applyBorder="1"/>
    <xf numFmtId="178" fontId="13" fillId="3" borderId="22" xfId="0" applyNumberFormat="1" applyFont="1" applyFill="1" applyBorder="1"/>
    <xf numFmtId="172" fontId="34" fillId="3" borderId="16" xfId="0" applyNumberFormat="1" applyFont="1" applyFill="1" applyBorder="1" applyAlignment="1">
      <alignment horizontal="right"/>
    </xf>
    <xf numFmtId="172" fontId="34" fillId="3" borderId="0" xfId="0" applyNumberFormat="1" applyFont="1" applyFill="1" applyAlignment="1">
      <alignment horizontal="right"/>
    </xf>
    <xf numFmtId="178" fontId="13" fillId="3" borderId="19" xfId="0" applyNumberFormat="1" applyFont="1" applyFill="1" applyBorder="1"/>
    <xf numFmtId="178" fontId="13" fillId="3" borderId="33" xfId="0" applyNumberFormat="1" applyFont="1" applyFill="1" applyBorder="1"/>
    <xf numFmtId="191" fontId="13" fillId="3" borderId="17" xfId="0" applyNumberFormat="1" applyFont="1" applyFill="1" applyBorder="1"/>
    <xf numFmtId="195" fontId="0" fillId="0" borderId="0" xfId="0" applyNumberFormat="1"/>
    <xf numFmtId="182" fontId="0" fillId="0" borderId="0" xfId="0" applyNumberFormat="1"/>
    <xf numFmtId="14" fontId="43" fillId="0" borderId="0" xfId="0" applyNumberFormat="1" applyFont="1"/>
    <xf numFmtId="165" fontId="43" fillId="0" borderId="0" xfId="0" applyNumberFormat="1" applyFont="1"/>
    <xf numFmtId="166" fontId="43" fillId="0" borderId="0" xfId="0" applyNumberFormat="1" applyFont="1"/>
    <xf numFmtId="166" fontId="14" fillId="0" borderId="0" xfId="0" applyNumberFormat="1" applyFont="1"/>
    <xf numFmtId="168" fontId="13" fillId="3" borderId="0" xfId="4" applyNumberFormat="1" applyFont="1" applyFill="1" applyBorder="1" applyAlignment="1">
      <alignment horizontal="right"/>
    </xf>
    <xf numFmtId="166" fontId="14" fillId="0" borderId="5" xfId="0" applyNumberFormat="1" applyFont="1" applyBorder="1"/>
    <xf numFmtId="196" fontId="0" fillId="0" borderId="0" xfId="0" applyNumberFormat="1"/>
    <xf numFmtId="0" fontId="0" fillId="0" borderId="16" xfId="0" applyBorder="1"/>
    <xf numFmtId="0" fontId="13" fillId="0" borderId="0" xfId="0" applyFont="1" applyAlignment="1">
      <alignment horizontal="left"/>
    </xf>
    <xf numFmtId="0" fontId="27" fillId="0" borderId="21" xfId="0" applyFont="1" applyBorder="1"/>
    <xf numFmtId="37" fontId="0" fillId="0" borderId="0" xfId="0" applyNumberFormat="1"/>
    <xf numFmtId="173" fontId="0" fillId="0" borderId="0" xfId="0" applyNumberFormat="1"/>
    <xf numFmtId="183" fontId="0" fillId="0" borderId="0" xfId="0" applyNumberFormat="1"/>
    <xf numFmtId="185" fontId="0" fillId="0" borderId="0" xfId="0" applyNumberFormat="1"/>
    <xf numFmtId="197" fontId="0" fillId="0" borderId="0" xfId="0" applyNumberFormat="1"/>
    <xf numFmtId="198" fontId="0" fillId="0" borderId="0" xfId="0" applyNumberFormat="1"/>
    <xf numFmtId="191" fontId="0" fillId="0" borderId="0" xfId="0" applyNumberFormat="1"/>
    <xf numFmtId="37" fontId="1" fillId="0" borderId="0" xfId="0" applyNumberFormat="1" applyFont="1"/>
    <xf numFmtId="183" fontId="5" fillId="0" borderId="0" xfId="0" applyNumberFormat="1" applyFont="1"/>
    <xf numFmtId="3" fontId="0" fillId="0" borderId="0" xfId="0" applyNumberFormat="1"/>
    <xf numFmtId="178" fontId="0" fillId="0" borderId="5" xfId="0" applyNumberFormat="1" applyBorder="1"/>
    <xf numFmtId="185" fontId="0" fillId="0" borderId="5" xfId="0" applyNumberFormat="1" applyBorder="1"/>
    <xf numFmtId="199" fontId="0" fillId="0" borderId="5" xfId="0" applyNumberFormat="1" applyBorder="1"/>
    <xf numFmtId="191" fontId="0" fillId="0" borderId="5" xfId="0" applyNumberFormat="1" applyBorder="1"/>
    <xf numFmtId="37" fontId="0" fillId="0" borderId="5" xfId="0" applyNumberFormat="1" applyBorder="1"/>
    <xf numFmtId="177" fontId="0" fillId="0" borderId="5" xfId="0" applyNumberFormat="1" applyBorder="1"/>
    <xf numFmtId="0" fontId="3" fillId="0" borderId="5" xfId="0" applyFont="1" applyBorder="1"/>
    <xf numFmtId="37" fontId="3" fillId="0" borderId="5" xfId="0" applyNumberFormat="1" applyFont="1" applyBorder="1"/>
    <xf numFmtId="179" fontId="3" fillId="0" borderId="0" xfId="0" applyNumberFormat="1" applyFont="1"/>
    <xf numFmtId="180" fontId="3" fillId="0" borderId="0" xfId="0" applyNumberFormat="1" applyFont="1"/>
    <xf numFmtId="200" fontId="3" fillId="0" borderId="0" xfId="0" applyNumberFormat="1" applyFont="1"/>
    <xf numFmtId="201" fontId="3" fillId="0" borderId="0" xfId="0" applyNumberFormat="1" applyFont="1"/>
    <xf numFmtId="37" fontId="3" fillId="0" borderId="0" xfId="0" applyNumberFormat="1" applyFont="1"/>
    <xf numFmtId="49" fontId="13" fillId="0" borderId="0" xfId="0" applyNumberFormat="1" applyFont="1" applyAlignment="1">
      <alignment horizontal="left"/>
    </xf>
    <xf numFmtId="0" fontId="0" fillId="0" borderId="0" xfId="0" applyAlignment="1">
      <alignment horizontal="center"/>
    </xf>
    <xf numFmtId="178" fontId="14" fillId="0" borderId="0" xfId="0" applyNumberFormat="1" applyFont="1" applyAlignment="1">
      <alignment horizontal="center"/>
    </xf>
    <xf numFmtId="178" fontId="14" fillId="0" borderId="0" xfId="0" applyNumberFormat="1" applyFont="1" applyAlignment="1">
      <alignment horizontal="right"/>
    </xf>
    <xf numFmtId="168" fontId="0" fillId="0" borderId="5" xfId="0" applyNumberFormat="1" applyBorder="1"/>
    <xf numFmtId="0" fontId="45" fillId="0" borderId="0" xfId="0" applyFont="1"/>
    <xf numFmtId="202" fontId="13" fillId="0" borderId="17" xfId="2" applyNumberFormat="1" applyFont="1" applyFill="1" applyBorder="1" applyAlignment="1">
      <alignment horizontal="right"/>
    </xf>
    <xf numFmtId="37" fontId="46" fillId="0" borderId="0" xfId="0" applyNumberFormat="1" applyFont="1" applyAlignment="1">
      <alignment vertical="center"/>
    </xf>
    <xf numFmtId="173" fontId="30" fillId="0" borderId="0" xfId="0" applyNumberFormat="1" applyFont="1" applyAlignment="1">
      <alignment horizontal="right"/>
    </xf>
    <xf numFmtId="178" fontId="29" fillId="0" borderId="15" xfId="0" applyNumberFormat="1" applyFont="1" applyBorder="1"/>
    <xf numFmtId="178" fontId="13" fillId="0" borderId="16" xfId="0" applyNumberFormat="1" applyFont="1" applyBorder="1"/>
    <xf numFmtId="178" fontId="13" fillId="0" borderId="34" xfId="0" applyNumberFormat="1" applyFont="1" applyBorder="1"/>
    <xf numFmtId="178" fontId="29" fillId="0" borderId="20" xfId="0" applyNumberFormat="1" applyFont="1" applyBorder="1"/>
    <xf numFmtId="178" fontId="29" fillId="0" borderId="21" xfId="0" applyNumberFormat="1" applyFont="1" applyBorder="1"/>
    <xf numFmtId="178" fontId="13" fillId="0" borderId="35" xfId="0" applyNumberFormat="1" applyFont="1" applyBorder="1"/>
    <xf numFmtId="178" fontId="24" fillId="0" borderId="34" xfId="0" applyNumberFormat="1" applyFont="1" applyBorder="1" applyAlignment="1">
      <alignment horizontal="center"/>
    </xf>
    <xf numFmtId="178" fontId="24" fillId="0" borderId="36" xfId="0" applyNumberFormat="1" applyFont="1" applyBorder="1" applyAlignment="1">
      <alignment horizontal="center"/>
    </xf>
    <xf numFmtId="191" fontId="13" fillId="0" borderId="32" xfId="1" applyNumberFormat="1" applyFont="1" applyFill="1" applyBorder="1" applyAlignment="1">
      <alignment horizontal="center"/>
    </xf>
    <xf numFmtId="185" fontId="13" fillId="0" borderId="0" xfId="1" applyNumberFormat="1" applyFont="1" applyFill="1" applyBorder="1" applyAlignment="1">
      <alignment horizontal="right"/>
    </xf>
    <xf numFmtId="0" fontId="27" fillId="0" borderId="0" xfId="0" applyFont="1" applyAlignment="1">
      <alignment horizontal="center"/>
    </xf>
    <xf numFmtId="0" fontId="14" fillId="0" borderId="15" xfId="0" applyFont="1" applyBorder="1" applyAlignment="1">
      <alignment horizontal="left" indent="1"/>
    </xf>
    <xf numFmtId="37" fontId="23" fillId="0" borderId="16" xfId="0" applyNumberFormat="1" applyFont="1" applyBorder="1" applyAlignment="1">
      <alignment vertical="center"/>
    </xf>
    <xf numFmtId="178" fontId="13" fillId="0" borderId="17" xfId="0" applyNumberFormat="1" applyFont="1" applyBorder="1"/>
    <xf numFmtId="172" fontId="34" fillId="0" borderId="16" xfId="0" applyNumberFormat="1" applyFont="1" applyBorder="1" applyAlignment="1">
      <alignment horizontal="right"/>
    </xf>
    <xf numFmtId="0" fontId="14" fillId="0" borderId="20" xfId="0" applyFont="1" applyBorder="1" applyAlignment="1">
      <alignment horizontal="left" indent="1"/>
    </xf>
    <xf numFmtId="178" fontId="13" fillId="0" borderId="22" xfId="0" applyNumberFormat="1" applyFont="1" applyBorder="1"/>
    <xf numFmtId="172" fontId="34" fillId="0" borderId="21" xfId="0" applyNumberFormat="1" applyFont="1" applyBorder="1" applyAlignment="1">
      <alignment horizontal="right"/>
    </xf>
    <xf numFmtId="0" fontId="27" fillId="0" borderId="16" xfId="0" applyFont="1" applyBorder="1"/>
    <xf numFmtId="178" fontId="14" fillId="0" borderId="22" xfId="0" applyNumberFormat="1" applyFont="1" applyBorder="1"/>
    <xf numFmtId="0" fontId="14" fillId="0" borderId="18" xfId="0" applyFont="1" applyBorder="1" applyAlignment="1">
      <alignment horizontal="left" indent="1"/>
    </xf>
    <xf numFmtId="0" fontId="48" fillId="0" borderId="0" xfId="0" quotePrefix="1" applyFont="1" applyAlignment="1">
      <alignment horizontal="right"/>
    </xf>
    <xf numFmtId="0" fontId="48" fillId="0" borderId="21" xfId="0" applyFont="1" applyBorder="1" applyAlignment="1">
      <alignment horizontal="right"/>
    </xf>
    <xf numFmtId="191" fontId="13" fillId="0" borderId="22" xfId="0" applyNumberFormat="1" applyFont="1" applyBorder="1"/>
    <xf numFmtId="179" fontId="49" fillId="0" borderId="0" xfId="0" quotePrefix="1" applyNumberFormat="1" applyFont="1" applyAlignment="1">
      <alignment horizontal="right"/>
    </xf>
    <xf numFmtId="180" fontId="49" fillId="0" borderId="0" xfId="0" quotePrefix="1" applyNumberFormat="1" applyFont="1" applyAlignment="1">
      <alignment horizontal="right"/>
    </xf>
    <xf numFmtId="202" fontId="4" fillId="0" borderId="0" xfId="0" applyNumberFormat="1" applyFont="1"/>
    <xf numFmtId="203" fontId="0" fillId="0" borderId="0" xfId="0" applyNumberFormat="1"/>
    <xf numFmtId="0" fontId="0" fillId="0" borderId="37" xfId="0" applyBorder="1"/>
    <xf numFmtId="49" fontId="8" fillId="0" borderId="37" xfId="0" applyNumberFormat="1" applyFont="1" applyBorder="1" applyAlignment="1">
      <alignment vertical="center"/>
    </xf>
    <xf numFmtId="168" fontId="0" fillId="0" borderId="37" xfId="0" applyNumberFormat="1" applyBorder="1"/>
    <xf numFmtId="178" fontId="0" fillId="0" borderId="4" xfId="0" applyNumberFormat="1" applyBorder="1"/>
    <xf numFmtId="178" fontId="0" fillId="0" borderId="6" xfId="0" applyNumberFormat="1" applyBorder="1"/>
    <xf numFmtId="178" fontId="0" fillId="0" borderId="7" xfId="0" applyNumberFormat="1" applyBorder="1"/>
    <xf numFmtId="178" fontId="0" fillId="0" borderId="8" xfId="0" applyNumberFormat="1" applyBorder="1"/>
    <xf numFmtId="178" fontId="0" fillId="0" borderId="9" xfId="0" applyNumberFormat="1" applyBorder="1"/>
    <xf numFmtId="178" fontId="0" fillId="0" borderId="10" xfId="0" applyNumberFormat="1" applyBorder="1"/>
    <xf numFmtId="178" fontId="0" fillId="0" borderId="11" xfId="0" applyNumberFormat="1" applyBorder="1"/>
    <xf numFmtId="191" fontId="0" fillId="0" borderId="4" xfId="0" applyNumberFormat="1" applyBorder="1"/>
    <xf numFmtId="191" fontId="0" fillId="0" borderId="6" xfId="0" applyNumberFormat="1" applyBorder="1"/>
    <xf numFmtId="191" fontId="0" fillId="0" borderId="7" xfId="0" applyNumberFormat="1" applyBorder="1"/>
    <xf numFmtId="191" fontId="0" fillId="0" borderId="8" xfId="0" applyNumberFormat="1" applyBorder="1"/>
    <xf numFmtId="191" fontId="0" fillId="0" borderId="9" xfId="0" applyNumberFormat="1" applyBorder="1"/>
    <xf numFmtId="191" fontId="0" fillId="0" borderId="10" xfId="0" applyNumberFormat="1" applyBorder="1"/>
    <xf numFmtId="191" fontId="0" fillId="0" borderId="11" xfId="0" applyNumberFormat="1" applyBorder="1"/>
    <xf numFmtId="178" fontId="50" fillId="0" borderId="0" xfId="0" applyNumberFormat="1" applyFont="1"/>
    <xf numFmtId="0" fontId="1" fillId="0" borderId="0" xfId="0" applyFont="1" applyAlignment="1">
      <alignment horizontal="center"/>
    </xf>
    <xf numFmtId="0" fontId="1" fillId="0" borderId="0" xfId="0" applyFont="1" applyAlignment="1">
      <alignment horizontal="center" vertical="center"/>
    </xf>
    <xf numFmtId="168" fontId="0" fillId="0" borderId="4" xfId="0" applyNumberFormat="1" applyBorder="1"/>
    <xf numFmtId="168" fontId="0" fillId="0" borderId="6" xfId="0" applyNumberFormat="1" applyBorder="1"/>
    <xf numFmtId="168" fontId="0" fillId="0" borderId="7" xfId="0" applyNumberFormat="1" applyBorder="1"/>
    <xf numFmtId="168" fontId="0" fillId="0" borderId="8" xfId="0" applyNumberFormat="1" applyBorder="1"/>
    <xf numFmtId="168" fontId="0" fillId="0" borderId="9" xfId="0" applyNumberFormat="1" applyBorder="1"/>
    <xf numFmtId="168" fontId="0" fillId="0" borderId="10" xfId="0" applyNumberFormat="1" applyBorder="1"/>
    <xf numFmtId="168" fontId="0" fillId="0" borderId="11" xfId="0" applyNumberFormat="1" applyBorder="1"/>
    <xf numFmtId="168" fontId="1" fillId="0" borderId="38" xfId="0" applyNumberFormat="1" applyFont="1" applyBorder="1"/>
    <xf numFmtId="178" fontId="1" fillId="0" borderId="38" xfId="0" applyNumberFormat="1" applyFont="1" applyBorder="1"/>
    <xf numFmtId="191" fontId="1" fillId="0" borderId="38" xfId="0" applyNumberFormat="1" applyFont="1" applyBorder="1"/>
    <xf numFmtId="178" fontId="10" fillId="0" borderId="0" xfId="0" applyNumberFormat="1" applyFont="1"/>
    <xf numFmtId="0" fontId="0" fillId="0" borderId="0" xfId="0" applyAlignment="1">
      <alignment textRotation="90"/>
    </xf>
    <xf numFmtId="0" fontId="0" fillId="0" borderId="0" xfId="0" applyAlignment="1">
      <alignment horizontal="center" vertical="center"/>
    </xf>
    <xf numFmtId="185" fontId="8" fillId="0" borderId="17" xfId="2" applyNumberFormat="1" applyFont="1" applyFill="1" applyBorder="1" applyAlignment="1">
      <alignment horizontal="right"/>
    </xf>
    <xf numFmtId="185" fontId="1" fillId="0" borderId="0" xfId="0" applyNumberFormat="1" applyFont="1"/>
    <xf numFmtId="0" fontId="9" fillId="6" borderId="0" xfId="0" applyFont="1" applyFill="1"/>
    <xf numFmtId="0" fontId="10" fillId="6" borderId="0" xfId="0" applyFont="1" applyFill="1"/>
    <xf numFmtId="0" fontId="3" fillId="0" borderId="4" xfId="0" applyFont="1" applyBorder="1"/>
    <xf numFmtId="0" fontId="3" fillId="0" borderId="7" xfId="0" applyFont="1" applyBorder="1"/>
    <xf numFmtId="0" fontId="3" fillId="0" borderId="9" xfId="0" applyFont="1" applyBorder="1"/>
    <xf numFmtId="0" fontId="0" fillId="0" borderId="0" xfId="0" applyAlignment="1">
      <alignment horizontal="right" vertical="center" textRotation="90"/>
    </xf>
    <xf numFmtId="0" fontId="1" fillId="0" borderId="0" xfId="0" applyFont="1" applyAlignment="1">
      <alignment horizontal="center" vertical="center" textRotation="90"/>
    </xf>
    <xf numFmtId="0" fontId="1" fillId="0" borderId="0" xfId="0" applyFont="1" applyAlignment="1">
      <alignment horizontal="center"/>
    </xf>
    <xf numFmtId="166" fontId="0" fillId="0" borderId="0" xfId="0" applyNumberFormat="1" applyAlignment="1">
      <alignment horizontal="center"/>
    </xf>
  </cellXfs>
  <cellStyles count="6">
    <cellStyle name="Comma" xfId="1" builtinId="3"/>
    <cellStyle name="Comma 2" xfId="4" xr:uid="{4FD4E819-E077-4579-8157-7B5D5D54085F}"/>
    <cellStyle name="Comma 2 2" xfId="5" xr:uid="{C01BBC37-C4A9-4FEA-84F4-381675081DFC}"/>
    <cellStyle name="Normal" xfId="0" builtinId="0"/>
    <cellStyle name="Normal 2" xfId="3" xr:uid="{08E0730B-9DB7-494D-95D3-E864A6677EB5}"/>
    <cellStyle name="Percent" xfId="2" builtinId="5"/>
  </cellStyles>
  <dxfs count="20">
    <dxf>
      <font>
        <b/>
        <i val="0"/>
        <color theme="0"/>
      </font>
      <fill>
        <patternFill patternType="solid">
          <bgColor rgb="FF947131"/>
        </patternFill>
      </fill>
    </dxf>
    <dxf>
      <font>
        <b/>
        <i val="0"/>
        <color theme="0"/>
      </font>
      <fill>
        <patternFill patternType="solid">
          <bgColor rgb="FF947131"/>
        </patternFill>
      </fill>
    </dxf>
    <dxf>
      <font>
        <color rgb="FF9C0006"/>
      </font>
      <fill>
        <patternFill>
          <bgColor rgb="FFFFC7CE"/>
        </patternFill>
      </fill>
    </dxf>
    <dxf>
      <font>
        <color rgb="FF006100"/>
      </font>
      <fill>
        <patternFill patternType="none">
          <bgColor indexed="65"/>
        </patternFill>
      </fill>
    </dxf>
    <dxf>
      <font>
        <color rgb="FF9C0006"/>
      </font>
      <fill>
        <patternFill>
          <bgColor rgb="FFFFC7CE"/>
        </patternFill>
      </fill>
    </dxf>
    <dxf>
      <font>
        <color rgb="FF006100"/>
      </font>
      <fill>
        <patternFill patternType="none">
          <bgColor indexed="65"/>
        </patternFill>
      </fill>
    </dxf>
    <dxf>
      <font>
        <color rgb="FF9C0006"/>
      </font>
      <fill>
        <patternFill>
          <bgColor rgb="FFFFC7CE"/>
        </patternFill>
      </fill>
    </dxf>
    <dxf>
      <font>
        <color rgb="FF006100"/>
      </font>
      <fill>
        <patternFill patternType="none">
          <bgColor indexed="65"/>
        </patternFill>
      </fill>
    </dxf>
    <dxf>
      <font>
        <color rgb="FF9C0006"/>
      </font>
      <fill>
        <patternFill>
          <bgColor rgb="FFFFC7CE"/>
        </patternFill>
      </fill>
    </dxf>
    <dxf>
      <font>
        <color rgb="FF006100"/>
      </font>
      <fill>
        <patternFill patternType="none">
          <bgColor indexed="65"/>
        </patternFill>
      </fill>
    </dxf>
    <dxf>
      <font>
        <color rgb="FF9C0006"/>
      </font>
      <fill>
        <patternFill>
          <bgColor rgb="FFFFC7CE"/>
        </patternFill>
      </fill>
    </dxf>
    <dxf>
      <font>
        <color rgb="FF006100"/>
      </font>
      <fill>
        <patternFill patternType="none">
          <bgColor indexed="65"/>
        </patternFill>
      </fill>
    </dxf>
    <dxf>
      <font>
        <color rgb="FF9C0006"/>
      </font>
      <fill>
        <patternFill>
          <bgColor rgb="FFFFC7CE"/>
        </patternFill>
      </fill>
    </dxf>
    <dxf>
      <font>
        <color rgb="FF006100"/>
      </font>
      <fill>
        <patternFill patternType="none">
          <bgColor indexed="65"/>
        </patternFill>
      </fill>
    </dxf>
    <dxf>
      <font>
        <color rgb="FF9C0006"/>
      </font>
      <fill>
        <patternFill>
          <bgColor rgb="FFFFC7CE"/>
        </patternFill>
      </fill>
    </dxf>
    <dxf>
      <font>
        <color rgb="FF006100"/>
      </font>
      <fill>
        <patternFill patternType="none">
          <bgColor indexed="65"/>
        </patternFill>
      </fill>
    </dxf>
    <dxf>
      <font>
        <color rgb="FF9C0006"/>
      </font>
      <fill>
        <patternFill>
          <bgColor rgb="FFFFC7CE"/>
        </patternFill>
      </fill>
    </dxf>
    <dxf>
      <font>
        <color rgb="FF006100"/>
      </font>
      <fill>
        <patternFill patternType="none">
          <bgColor indexed="65"/>
        </patternFill>
      </fill>
    </dxf>
    <dxf>
      <font>
        <color rgb="FF9C0006"/>
      </font>
      <fill>
        <patternFill>
          <bgColor rgb="FFFFC7CE"/>
        </patternFill>
      </fill>
    </dxf>
    <dxf>
      <font>
        <color rgb="FF006100"/>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01"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B3E1257-59E5-481F-9CFD-32EA4F5A2CCB}">
  <we:reference id="wa104100404" version="3.0.0.1" store="en-US" storeType="OMEX"/>
  <we:alternateReferences>
    <we:reference id="wa104100404" version="3.0.0.1" store="en-US" storeType="OMEX"/>
  </we:alternateReferences>
  <we:properties>
    <we:property name="UniqueID" value="&quot;2026429178004694042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4B63-3109-40A3-A0C1-4FF6BEC180EA}">
  <dimension ref="A1:S125"/>
  <sheetViews>
    <sheetView showGridLines="0" tabSelected="1" zoomScale="85" zoomScaleNormal="85" workbookViewId="0">
      <selection activeCell="B104" sqref="B104"/>
    </sheetView>
  </sheetViews>
  <sheetFormatPr defaultRowHeight="14.4"/>
  <cols>
    <col min="1" max="1" width="3.44140625" customWidth="1"/>
    <col min="2" max="2" width="5.109375" customWidth="1"/>
    <col min="5" max="6" width="9" bestFit="1" customWidth="1"/>
    <col min="7" max="7" width="10.21875" bestFit="1" customWidth="1"/>
    <col min="9" max="9" width="9.44140625" customWidth="1"/>
    <col min="10" max="10" width="9.33203125" customWidth="1"/>
    <col min="11" max="11" width="8" customWidth="1"/>
    <col min="12" max="14" width="9" bestFit="1" customWidth="1"/>
    <col min="15" max="15" width="10.109375" bestFit="1" customWidth="1"/>
    <col min="17" max="17" width="8.88671875" style="4"/>
    <col min="19" max="19" width="9.33203125" customWidth="1"/>
  </cols>
  <sheetData>
    <row r="1" spans="1:17">
      <c r="A1" t="s">
        <v>95</v>
      </c>
      <c r="B1" s="356" t="s">
        <v>381</v>
      </c>
      <c r="C1" s="357"/>
      <c r="D1" s="357"/>
      <c r="E1" s="357"/>
      <c r="F1" s="357"/>
      <c r="G1" s="357"/>
      <c r="H1" s="357"/>
      <c r="I1" s="357"/>
      <c r="J1" s="357"/>
      <c r="K1" s="357"/>
      <c r="L1" s="357"/>
      <c r="M1" s="357"/>
      <c r="N1" s="357"/>
      <c r="O1" s="357"/>
      <c r="P1" s="356"/>
    </row>
    <row r="2" spans="1:17">
      <c r="B2" s="269" t="s">
        <v>624</v>
      </c>
      <c r="E2" s="3">
        <v>44592</v>
      </c>
      <c r="F2" s="3">
        <f t="shared" ref="F2:N2" si="0">EDATE(E2,12)</f>
        <v>44957</v>
      </c>
      <c r="G2" s="3">
        <f t="shared" si="0"/>
        <v>45322</v>
      </c>
      <c r="H2" s="3">
        <f t="shared" si="0"/>
        <v>45688</v>
      </c>
      <c r="I2" s="3">
        <f t="shared" si="0"/>
        <v>46053</v>
      </c>
      <c r="J2" s="2">
        <f t="shared" si="0"/>
        <v>46418</v>
      </c>
      <c r="K2" s="2">
        <f t="shared" si="0"/>
        <v>46783</v>
      </c>
      <c r="L2" s="2">
        <f t="shared" si="0"/>
        <v>47149</v>
      </c>
      <c r="M2" s="2">
        <f t="shared" si="0"/>
        <v>47514</v>
      </c>
      <c r="N2" s="2">
        <f t="shared" si="0"/>
        <v>47879</v>
      </c>
      <c r="O2" s="1" t="s">
        <v>0</v>
      </c>
    </row>
    <row r="4" spans="1:17">
      <c r="B4" t="s">
        <v>382</v>
      </c>
      <c r="J4" s="25">
        <v>0.05</v>
      </c>
      <c r="K4" s="25">
        <v>5.2499999999999998E-2</v>
      </c>
      <c r="L4" s="25">
        <v>5.2499999999999998E-2</v>
      </c>
      <c r="M4" s="25">
        <v>5.5E-2</v>
      </c>
      <c r="N4" s="25">
        <v>5.7500000000000002E-2</v>
      </c>
      <c r="O4" s="25">
        <v>0.06</v>
      </c>
      <c r="Q4" s="4" t="s">
        <v>383</v>
      </c>
    </row>
    <row r="6" spans="1:17">
      <c r="B6" t="s">
        <v>90</v>
      </c>
      <c r="J6" s="25">
        <v>0.75</v>
      </c>
      <c r="K6" s="25">
        <v>0.74950000000000006</v>
      </c>
      <c r="L6" s="25">
        <v>0.749</v>
      </c>
      <c r="M6" s="25">
        <v>0.74850000000000005</v>
      </c>
      <c r="N6" s="25">
        <v>0.748</v>
      </c>
      <c r="O6" s="25">
        <v>0.74750000000000005</v>
      </c>
      <c r="Q6" s="4" t="s">
        <v>384</v>
      </c>
    </row>
    <row r="7" spans="1:17">
      <c r="J7" s="25"/>
      <c r="K7" s="25"/>
      <c r="L7" s="25"/>
      <c r="M7" s="25"/>
      <c r="N7" s="25"/>
      <c r="O7" s="25"/>
    </row>
    <row r="8" spans="1:17">
      <c r="B8" t="s">
        <v>89</v>
      </c>
      <c r="J8" s="25">
        <v>0.20499999999999999</v>
      </c>
      <c r="K8" s="25">
        <v>0.20449999999999999</v>
      </c>
      <c r="L8" s="25">
        <v>0.20399999999999999</v>
      </c>
      <c r="M8" s="25">
        <v>0.20349999999999999</v>
      </c>
      <c r="N8" s="25">
        <v>0.20300000000000001</v>
      </c>
      <c r="O8" s="25">
        <v>0.20250000000000001</v>
      </c>
      <c r="Q8" s="4" t="s">
        <v>385</v>
      </c>
    </row>
    <row r="10" spans="1:17">
      <c r="B10" t="s">
        <v>326</v>
      </c>
      <c r="J10" s="6">
        <f>Model!K7*Model!K584</f>
        <v>28119.83165625</v>
      </c>
      <c r="K10" s="6">
        <f>Model!L7*Model!L584</f>
        <v>31616.838000499996</v>
      </c>
      <c r="L10" s="6">
        <f>Model!M7*Model!M584</f>
        <v>33330.972120887505</v>
      </c>
      <c r="M10" s="6">
        <f>Model!N7*Model!N584</f>
        <v>37427.195307051763</v>
      </c>
      <c r="N10" s="6">
        <f>Model!O7*Model!O584</f>
        <v>39652.939103263612</v>
      </c>
      <c r="O10" s="6">
        <f>Model!P7*Model!P584</f>
        <v>0</v>
      </c>
      <c r="Q10" s="4" t="s">
        <v>386</v>
      </c>
    </row>
    <row r="12" spans="1:17">
      <c r="B12" t="s">
        <v>232</v>
      </c>
      <c r="F12" s="184"/>
      <c r="G12" s="184"/>
      <c r="H12" s="184"/>
      <c r="I12" s="184"/>
      <c r="J12" s="186">
        <v>5.6</v>
      </c>
      <c r="K12" s="186">
        <v>5.5</v>
      </c>
      <c r="L12" s="186">
        <v>5.4</v>
      </c>
      <c r="M12" s="186">
        <v>5.3</v>
      </c>
      <c r="N12" s="186">
        <v>5.2</v>
      </c>
      <c r="O12" s="186">
        <v>5.0999999999999996</v>
      </c>
      <c r="Q12" s="4" t="s">
        <v>372</v>
      </c>
    </row>
    <row r="13" spans="1:17">
      <c r="B13" t="s">
        <v>233</v>
      </c>
      <c r="F13" s="184"/>
      <c r="G13" s="184"/>
      <c r="H13" s="184"/>
      <c r="I13" s="184"/>
      <c r="J13" s="186">
        <v>40</v>
      </c>
      <c r="K13" s="186">
        <v>39.5</v>
      </c>
      <c r="L13" s="186">
        <v>39</v>
      </c>
      <c r="M13" s="186">
        <v>38.5</v>
      </c>
      <c r="N13" s="186">
        <v>38</v>
      </c>
      <c r="O13" s="186">
        <v>37.5</v>
      </c>
      <c r="Q13" s="4" t="s">
        <v>373</v>
      </c>
    </row>
    <row r="14" spans="1:17">
      <c r="B14" t="s">
        <v>234</v>
      </c>
      <c r="F14" s="184"/>
      <c r="G14" s="184"/>
      <c r="H14" s="184"/>
      <c r="I14" s="184"/>
      <c r="J14" s="186">
        <v>42.25</v>
      </c>
      <c r="K14" s="186">
        <v>42.5</v>
      </c>
      <c r="L14" s="186">
        <v>42.5</v>
      </c>
      <c r="M14" s="186">
        <v>42.75</v>
      </c>
      <c r="N14" s="186">
        <v>43</v>
      </c>
      <c r="O14" s="186">
        <v>43.25</v>
      </c>
      <c r="Q14" s="4" t="s">
        <v>374</v>
      </c>
    </row>
    <row r="18" spans="1:17">
      <c r="A18" t="s">
        <v>95</v>
      </c>
      <c r="B18" s="5" t="s">
        <v>80</v>
      </c>
      <c r="D18" s="4"/>
      <c r="J18" s="5" t="s">
        <v>387</v>
      </c>
      <c r="K18" s="6"/>
      <c r="L18" s="6"/>
      <c r="M18" s="6"/>
      <c r="N18" s="6"/>
    </row>
    <row r="19" spans="1:17">
      <c r="D19" s="4"/>
      <c r="K19" s="6"/>
      <c r="L19" s="6"/>
      <c r="M19" s="6"/>
      <c r="N19" s="6"/>
    </row>
    <row r="20" spans="1:17">
      <c r="B20" t="s">
        <v>273</v>
      </c>
      <c r="G20" s="195">
        <v>0.245</v>
      </c>
      <c r="H20" s="4"/>
      <c r="J20" t="s">
        <v>388</v>
      </c>
      <c r="K20" s="6"/>
      <c r="O20" s="196">
        <v>0.5</v>
      </c>
      <c r="Q20" s="4" t="s">
        <v>413</v>
      </c>
    </row>
    <row r="21" spans="1:17">
      <c r="B21" t="s">
        <v>259</v>
      </c>
      <c r="G21" s="196">
        <v>0.3</v>
      </c>
      <c r="H21" s="4"/>
      <c r="J21" t="s">
        <v>389</v>
      </c>
      <c r="K21" s="6"/>
      <c r="L21" s="6"/>
      <c r="M21" s="6"/>
      <c r="O21" s="197">
        <v>15</v>
      </c>
      <c r="Q21" s="4" t="s">
        <v>414</v>
      </c>
    </row>
    <row r="22" spans="1:17">
      <c r="B22" t="s">
        <v>260</v>
      </c>
      <c r="G22" s="196">
        <v>0.15</v>
      </c>
      <c r="H22" s="4"/>
      <c r="J22" t="s">
        <v>390</v>
      </c>
      <c r="K22" s="6"/>
      <c r="L22" s="6"/>
      <c r="M22" s="6"/>
      <c r="O22" s="197">
        <v>12</v>
      </c>
    </row>
    <row r="23" spans="1:17">
      <c r="B23" t="s">
        <v>391</v>
      </c>
      <c r="G23" s="6">
        <f>(Model!J270-(Notes!G28/'Drivers, Inputs and Outputs'!G20))</f>
        <v>111095.24489795919</v>
      </c>
      <c r="H23" s="198" t="s">
        <v>415</v>
      </c>
      <c r="K23" s="6"/>
      <c r="L23" s="6"/>
      <c r="M23" s="6"/>
      <c r="O23" s="6"/>
      <c r="Q23" s="4" t="s">
        <v>416</v>
      </c>
    </row>
    <row r="24" spans="1:17">
      <c r="B24" t="s">
        <v>283</v>
      </c>
      <c r="G24" s="6">
        <v>0</v>
      </c>
      <c r="H24" s="198" t="s">
        <v>415</v>
      </c>
      <c r="J24" t="s">
        <v>418</v>
      </c>
      <c r="K24" s="6"/>
      <c r="L24" s="6"/>
      <c r="M24" s="6"/>
      <c r="O24" s="6">
        <f>Notes!G11</f>
        <v>136083</v>
      </c>
      <c r="Q24" s="4" t="s">
        <v>417</v>
      </c>
    </row>
    <row r="25" spans="1:17">
      <c r="C25" s="55"/>
      <c r="D25" s="4"/>
      <c r="J25" t="s">
        <v>419</v>
      </c>
      <c r="K25" s="6"/>
      <c r="L25" s="6"/>
      <c r="M25" s="6"/>
      <c r="O25" s="6">
        <f>Notes!G9</f>
        <v>256421</v>
      </c>
    </row>
    <row r="26" spans="1:17">
      <c r="D26" s="4"/>
      <c r="J26" t="s">
        <v>392</v>
      </c>
      <c r="K26" s="6"/>
      <c r="L26" s="6"/>
      <c r="M26" s="6"/>
      <c r="O26" s="6">
        <v>216939</v>
      </c>
    </row>
    <row r="27" spans="1:17">
      <c r="D27" s="4"/>
      <c r="K27" s="6"/>
      <c r="L27" s="6"/>
      <c r="M27" s="6"/>
      <c r="O27" s="6"/>
    </row>
    <row r="28" spans="1:17">
      <c r="A28" t="s">
        <v>95</v>
      </c>
      <c r="B28" s="199" t="s">
        <v>393</v>
      </c>
      <c r="C28" s="200"/>
      <c r="D28" s="200"/>
      <c r="J28" s="5" t="s">
        <v>447</v>
      </c>
    </row>
    <row r="29" spans="1:17">
      <c r="B29" s="199"/>
      <c r="C29" s="200"/>
      <c r="D29" s="200"/>
    </row>
    <row r="30" spans="1:17">
      <c r="B30" s="201" t="s">
        <v>395</v>
      </c>
      <c r="D30" s="202"/>
      <c r="G30" s="195">
        <v>0.02</v>
      </c>
      <c r="J30" t="s">
        <v>474</v>
      </c>
      <c r="O30" s="195">
        <v>6.7000000000000004E-2</v>
      </c>
      <c r="Q30" s="4" t="s">
        <v>475</v>
      </c>
    </row>
    <row r="31" spans="1:17">
      <c r="B31" s="201" t="s">
        <v>308</v>
      </c>
      <c r="D31" s="202"/>
      <c r="G31" s="195">
        <v>4.7500000000000001E-2</v>
      </c>
      <c r="J31" t="s">
        <v>473</v>
      </c>
      <c r="O31" s="196">
        <v>7.0000000000000007E-2</v>
      </c>
    </row>
    <row r="32" spans="1:17">
      <c r="B32" s="214" t="s">
        <v>297</v>
      </c>
      <c r="D32" s="202"/>
      <c r="G32" s="195">
        <v>0.05</v>
      </c>
    </row>
    <row r="33" spans="1:17">
      <c r="B33" s="201" t="s">
        <v>424</v>
      </c>
      <c r="C33" s="83"/>
      <c r="D33" s="4"/>
      <c r="G33" s="195">
        <v>4.2500000000000003E-2</v>
      </c>
      <c r="J33" t="s">
        <v>476</v>
      </c>
      <c r="O33" s="6">
        <v>2303</v>
      </c>
      <c r="Q33" s="4" t="s">
        <v>478</v>
      </c>
    </row>
    <row r="34" spans="1:17">
      <c r="C34" s="203"/>
      <c r="D34" s="4"/>
      <c r="J34" t="s">
        <v>477</v>
      </c>
      <c r="O34" s="6">
        <v>703</v>
      </c>
    </row>
    <row r="35" spans="1:17">
      <c r="A35" t="s">
        <v>95</v>
      </c>
      <c r="B35" s="5" t="s">
        <v>398</v>
      </c>
      <c r="D35" s="4"/>
    </row>
    <row r="36" spans="1:17">
      <c r="B36" s="5"/>
      <c r="D36" s="4"/>
      <c r="J36" s="5" t="s">
        <v>394</v>
      </c>
      <c r="K36" s="6"/>
      <c r="L36" s="6"/>
      <c r="M36" s="6"/>
      <c r="O36" s="6"/>
    </row>
    <row r="37" spans="1:17" ht="16.399999999999999">
      <c r="B37" s="204" t="s">
        <v>399</v>
      </c>
      <c r="C37" s="154"/>
      <c r="G37" s="205">
        <v>46174</v>
      </c>
      <c r="K37" s="6"/>
      <c r="L37" s="6"/>
      <c r="M37" s="6"/>
      <c r="O37" s="6"/>
    </row>
    <row r="38" spans="1:17" ht="16.399999999999999">
      <c r="B38" s="204" t="s">
        <v>401</v>
      </c>
      <c r="C38" s="154"/>
      <c r="G38" s="205">
        <v>46234</v>
      </c>
      <c r="J38" t="s">
        <v>396</v>
      </c>
      <c r="K38" s="6"/>
      <c r="L38" s="6"/>
      <c r="M38" s="6"/>
      <c r="O38" s="195">
        <v>0.34</v>
      </c>
    </row>
    <row r="39" spans="1:17">
      <c r="B39" s="202" t="s">
        <v>402</v>
      </c>
      <c r="G39" s="205">
        <v>46418</v>
      </c>
      <c r="J39" t="s">
        <v>397</v>
      </c>
      <c r="K39" s="6"/>
      <c r="L39" s="6"/>
      <c r="M39" s="6"/>
      <c r="O39" s="196">
        <v>0.5</v>
      </c>
    </row>
    <row r="40" spans="1:17">
      <c r="B40" s="202" t="s">
        <v>403</v>
      </c>
      <c r="G40" s="208">
        <v>2026</v>
      </c>
      <c r="J40" t="s">
        <v>513</v>
      </c>
      <c r="K40" s="6"/>
      <c r="L40" s="6"/>
      <c r="M40" s="6"/>
      <c r="O40" s="6">
        <f>Model!J95+Model!J101+Model!J103</f>
        <v>51523</v>
      </c>
    </row>
    <row r="41" spans="1:17">
      <c r="B41" s="204" t="s">
        <v>404</v>
      </c>
      <c r="F41" s="204"/>
      <c r="G41" s="209">
        <f>IF(G37&gt;G38,1,0)</f>
        <v>0</v>
      </c>
      <c r="J41" t="s">
        <v>293</v>
      </c>
      <c r="K41" s="6"/>
      <c r="L41" s="6"/>
      <c r="M41" s="6"/>
      <c r="O41" s="6">
        <f>Model!J81</f>
        <v>10727</v>
      </c>
    </row>
    <row r="42" spans="1:17">
      <c r="B42" s="204" t="s">
        <v>405</v>
      </c>
      <c r="F42" s="204"/>
      <c r="G42" s="209">
        <f>IF(G38&gt;G39,1,0)</f>
        <v>0</v>
      </c>
      <c r="J42" t="s">
        <v>570</v>
      </c>
      <c r="K42" s="6"/>
      <c r="L42" s="6"/>
      <c r="M42" s="6"/>
      <c r="O42" s="6">
        <v>797240.25009999995</v>
      </c>
    </row>
    <row r="43" spans="1:17">
      <c r="B43" s="202" t="s">
        <v>230</v>
      </c>
      <c r="F43" s="204"/>
      <c r="G43" s="208">
        <v>365</v>
      </c>
      <c r="J43" s="6"/>
      <c r="K43" s="6"/>
      <c r="L43" s="6"/>
      <c r="M43" s="6"/>
    </row>
    <row r="44" spans="1:17" ht="16.399999999999999">
      <c r="B44" s="210"/>
      <c r="D44" s="4"/>
    </row>
    <row r="45" spans="1:17">
      <c r="B45" s="321"/>
      <c r="C45" s="321"/>
      <c r="D45" s="321"/>
      <c r="E45" s="321"/>
      <c r="F45" s="321"/>
      <c r="G45" s="321"/>
      <c r="H45" s="321"/>
      <c r="I45" s="321"/>
      <c r="J45" s="322"/>
      <c r="K45" s="321"/>
      <c r="L45" s="321"/>
      <c r="M45" s="321"/>
      <c r="N45" s="321"/>
      <c r="O45" s="321"/>
      <c r="P45" s="321"/>
    </row>
    <row r="48" spans="1:17">
      <c r="A48" t="s">
        <v>95</v>
      </c>
      <c r="B48" s="268" t="s">
        <v>411</v>
      </c>
      <c r="C48" s="261"/>
      <c r="D48" s="261"/>
      <c r="E48" s="261"/>
      <c r="F48" s="261"/>
      <c r="G48" s="262"/>
      <c r="H48" s="262"/>
      <c r="I48" s="262"/>
      <c r="J48" s="262"/>
      <c r="K48" s="262"/>
      <c r="L48" s="262"/>
      <c r="M48" s="262"/>
      <c r="P48" s="4"/>
    </row>
    <row r="49" spans="2:17">
      <c r="B49" s="268"/>
      <c r="C49" s="261"/>
      <c r="D49" s="261"/>
      <c r="E49" s="261"/>
      <c r="F49" s="261"/>
      <c r="G49" s="262"/>
      <c r="H49" s="262"/>
      <c r="I49" s="262"/>
      <c r="J49" s="262"/>
      <c r="K49" s="262"/>
      <c r="L49" s="262"/>
      <c r="M49" s="262"/>
      <c r="P49" s="4"/>
    </row>
    <row r="50" spans="2:17">
      <c r="K50" s="78" t="s">
        <v>548</v>
      </c>
      <c r="L50" s="78" t="s">
        <v>549</v>
      </c>
      <c r="M50" s="78" t="s">
        <v>549</v>
      </c>
      <c r="N50" s="286" t="s">
        <v>550</v>
      </c>
      <c r="O50" s="287" t="s">
        <v>551</v>
      </c>
      <c r="P50" s="4"/>
    </row>
    <row r="51" spans="2:17" ht="15.75">
      <c r="B51" t="s">
        <v>552</v>
      </c>
      <c r="E51" t="s">
        <v>592</v>
      </c>
      <c r="F51" t="s">
        <v>591</v>
      </c>
      <c r="G51" s="19" t="s">
        <v>553</v>
      </c>
      <c r="I51" s="78" t="s">
        <v>512</v>
      </c>
      <c r="J51" s="78" t="s">
        <v>554</v>
      </c>
      <c r="K51" s="285" t="s">
        <v>597</v>
      </c>
      <c r="L51" s="78" t="s">
        <v>554</v>
      </c>
      <c r="M51" s="78" t="s">
        <v>555</v>
      </c>
      <c r="N51" s="285" t="s">
        <v>595</v>
      </c>
      <c r="O51" s="285" t="s">
        <v>596</v>
      </c>
      <c r="P51" s="4"/>
    </row>
    <row r="52" spans="2:17">
      <c r="I52" s="78"/>
      <c r="J52" s="78"/>
      <c r="K52" s="265"/>
      <c r="L52" s="78"/>
      <c r="M52" s="78"/>
      <c r="N52" s="266"/>
      <c r="O52" s="78"/>
      <c r="P52" s="4"/>
    </row>
    <row r="53" spans="2:17">
      <c r="B53" t="s">
        <v>581</v>
      </c>
      <c r="E53" t="s">
        <v>587</v>
      </c>
      <c r="F53" t="s">
        <v>588</v>
      </c>
      <c r="G53" t="s">
        <v>593</v>
      </c>
      <c r="I53" s="78">
        <v>8132</v>
      </c>
      <c r="J53" s="78">
        <v>445290</v>
      </c>
      <c r="K53" s="23">
        <v>0.24970000000000001</v>
      </c>
      <c r="L53" s="23">
        <f>I53/J53</f>
        <v>1.8262256057849941E-2</v>
      </c>
      <c r="M53" s="17">
        <f>I53/(I53+J53)</f>
        <v>1.7934727472420836E-2</v>
      </c>
      <c r="N53" s="267">
        <v>0.87</v>
      </c>
      <c r="O53" s="267">
        <f>N53/(1+(1-K53)*L53)</f>
        <v>0.85824024563535395</v>
      </c>
      <c r="P53" s="4"/>
    </row>
    <row r="54" spans="2:17">
      <c r="B54" t="s">
        <v>582</v>
      </c>
      <c r="E54" t="s">
        <v>587</v>
      </c>
      <c r="F54" t="s">
        <v>589</v>
      </c>
      <c r="G54" t="s">
        <v>593</v>
      </c>
      <c r="I54" s="78">
        <v>19420</v>
      </c>
      <c r="J54" s="78">
        <v>66150</v>
      </c>
      <c r="K54" s="23">
        <v>0.221</v>
      </c>
      <c r="L54" s="23">
        <f t="shared" ref="L54:L56" si="1">I54/J54</f>
        <v>0.29357520786092217</v>
      </c>
      <c r="M54" s="17">
        <f t="shared" ref="M54:M56" si="2">I54/(I54+J54)</f>
        <v>0.22694869697323827</v>
      </c>
      <c r="N54" s="267">
        <v>1.01</v>
      </c>
      <c r="O54" s="267">
        <f t="shared" ref="O54:O55" si="3">N54/(1+(1-K54)*L54)</f>
        <v>0.82201028615552174</v>
      </c>
      <c r="P54" s="4"/>
    </row>
    <row r="55" spans="2:17">
      <c r="B55" t="s">
        <v>583</v>
      </c>
      <c r="E55" t="s">
        <v>587</v>
      </c>
      <c r="F55" t="s">
        <v>590</v>
      </c>
      <c r="G55" t="s">
        <v>593</v>
      </c>
      <c r="I55" s="78">
        <v>24692</v>
      </c>
      <c r="J55" s="78">
        <v>39800</v>
      </c>
      <c r="K55" s="23">
        <v>0.23499999999999999</v>
      </c>
      <c r="L55" s="23">
        <f t="shared" si="1"/>
        <v>0.62040201005025131</v>
      </c>
      <c r="M55" s="17">
        <f t="shared" si="2"/>
        <v>0.38286919307821127</v>
      </c>
      <c r="N55" s="267">
        <v>0.42</v>
      </c>
      <c r="O55" s="267">
        <f t="shared" si="3"/>
        <v>0.28482154693063716</v>
      </c>
      <c r="P55" s="4"/>
    </row>
    <row r="56" spans="2:17">
      <c r="B56" t="s">
        <v>584</v>
      </c>
      <c r="E56" t="s">
        <v>586</v>
      </c>
      <c r="F56" t="s">
        <v>585</v>
      </c>
      <c r="G56" t="s">
        <v>593</v>
      </c>
      <c r="I56" s="78">
        <v>138500</v>
      </c>
      <c r="J56" s="78">
        <v>2500000</v>
      </c>
      <c r="K56" s="23">
        <v>0.19500000000000001</v>
      </c>
      <c r="L56" s="23">
        <f t="shared" si="1"/>
        <v>5.5399999999999998E-2</v>
      </c>
      <c r="M56" s="17">
        <f t="shared" si="2"/>
        <v>5.2491946181542543E-2</v>
      </c>
      <c r="N56" s="267"/>
      <c r="O56" s="267"/>
      <c r="P56" s="4"/>
      <c r="Q56" s="4" t="s">
        <v>601</v>
      </c>
    </row>
    <row r="57" spans="2:17">
      <c r="G57" s="261"/>
      <c r="I57" s="78"/>
      <c r="J57" s="78"/>
      <c r="K57" s="264"/>
      <c r="L57" s="250"/>
      <c r="M57" s="250"/>
      <c r="N57" s="267"/>
      <c r="O57" s="267"/>
      <c r="P57" s="4"/>
      <c r="Q57" s="4" t="s">
        <v>641</v>
      </c>
    </row>
    <row r="58" spans="2:17">
      <c r="B58" s="130"/>
      <c r="C58" s="130"/>
      <c r="D58" s="130"/>
      <c r="E58" s="130"/>
      <c r="F58" s="271"/>
      <c r="G58" s="271"/>
      <c r="H58" s="272"/>
      <c r="I58" s="273"/>
      <c r="J58" s="273"/>
      <c r="K58" s="274"/>
      <c r="L58" s="274"/>
      <c r="M58" s="130"/>
      <c r="N58" s="130"/>
      <c r="O58" s="130"/>
      <c r="P58" s="4"/>
    </row>
    <row r="59" spans="2:17">
      <c r="B59" s="263"/>
      <c r="C59" s="261"/>
      <c r="D59" s="261"/>
      <c r="E59" s="261"/>
      <c r="F59" s="262"/>
      <c r="J59" s="262" t="s">
        <v>548</v>
      </c>
      <c r="K59" s="264">
        <f>AVERAGE(K53:K56)</f>
        <v>0.22517500000000001</v>
      </c>
      <c r="L59" s="264">
        <f t="shared" ref="L59:O59" si="4">AVERAGE(L53:L56)</f>
        <v>0.24690986849225585</v>
      </c>
      <c r="M59" s="264">
        <f t="shared" si="4"/>
        <v>0.17006114092635322</v>
      </c>
      <c r="N59" s="267">
        <f>AVERAGE(N53:N56)</f>
        <v>0.76666666666666661</v>
      </c>
      <c r="O59" s="267">
        <f t="shared" si="4"/>
        <v>0.65502402624050438</v>
      </c>
      <c r="P59" s="4"/>
    </row>
    <row r="60" spans="2:17">
      <c r="B60" s="263"/>
      <c r="C60" s="261"/>
      <c r="D60" s="261"/>
      <c r="E60" s="261"/>
      <c r="F60" s="262"/>
      <c r="J60" s="262" t="s">
        <v>556</v>
      </c>
      <c r="K60" s="264">
        <f>MEDIAN(K53:K56)</f>
        <v>0.22799999999999998</v>
      </c>
      <c r="L60" s="264">
        <f t="shared" ref="L60:O60" si="5">MEDIAN(L53:L56)</f>
        <v>0.17448760393046109</v>
      </c>
      <c r="M60" s="264">
        <f t="shared" si="5"/>
        <v>0.13972032157739039</v>
      </c>
      <c r="N60" s="267">
        <f t="shared" si="5"/>
        <v>0.87</v>
      </c>
      <c r="O60" s="267">
        <f t="shared" si="5"/>
        <v>0.82201028615552174</v>
      </c>
      <c r="P60" s="4"/>
    </row>
    <row r="61" spans="2:17">
      <c r="B61" s="263"/>
      <c r="C61" s="261"/>
      <c r="D61" s="261"/>
      <c r="E61" s="261"/>
      <c r="F61" s="262"/>
      <c r="G61" s="262"/>
      <c r="H61" s="264"/>
      <c r="I61" s="250"/>
      <c r="J61" s="250"/>
      <c r="K61" s="267"/>
      <c r="L61" s="267"/>
      <c r="P61" s="4"/>
    </row>
    <row r="62" spans="2:17">
      <c r="B62" s="130"/>
      <c r="C62" s="275"/>
      <c r="D62" s="275"/>
      <c r="E62" s="275"/>
      <c r="F62" s="130"/>
      <c r="G62" s="274"/>
      <c r="H62" s="274"/>
      <c r="I62" s="274"/>
      <c r="J62" s="274"/>
      <c r="K62" s="274"/>
      <c r="L62" s="274"/>
      <c r="M62" s="274"/>
      <c r="N62" s="130"/>
      <c r="O62" s="130"/>
      <c r="P62" s="4"/>
    </row>
    <row r="63" spans="2:17">
      <c r="B63" t="s">
        <v>557</v>
      </c>
      <c r="F63" s="261"/>
      <c r="K63" t="s">
        <v>558</v>
      </c>
      <c r="O63" s="261"/>
    </row>
    <row r="65" spans="2:19">
      <c r="B65" t="s">
        <v>559</v>
      </c>
      <c r="G65" s="23">
        <v>4.3999999999999997E-2</v>
      </c>
      <c r="K65" t="s">
        <v>560</v>
      </c>
      <c r="O65" s="195">
        <v>4.1599999999999998E-2</v>
      </c>
      <c r="Q65" s="4" t="s">
        <v>637</v>
      </c>
    </row>
    <row r="66" spans="2:19">
      <c r="B66" t="s">
        <v>561</v>
      </c>
      <c r="G66" s="267">
        <f>O59</f>
        <v>0.65502402624050438</v>
      </c>
      <c r="K66" t="s">
        <v>562</v>
      </c>
      <c r="O66" s="195">
        <f>G68</f>
        <v>3.0209986823840251E-2</v>
      </c>
      <c r="Q66" s="17"/>
    </row>
    <row r="67" spans="2:19" ht="15.75">
      <c r="B67" s="284" t="s">
        <v>563</v>
      </c>
      <c r="G67" s="267">
        <f>G66*(1+(1-O75)*G78)</f>
        <v>0.686590609632733</v>
      </c>
      <c r="K67" t="s">
        <v>564</v>
      </c>
      <c r="O67" s="23">
        <v>0</v>
      </c>
      <c r="Q67" s="4" t="s">
        <v>598</v>
      </c>
    </row>
    <row r="68" spans="2:19">
      <c r="B68" t="s">
        <v>562</v>
      </c>
      <c r="G68" s="288">
        <f>G67*G65</f>
        <v>3.0209986823840251E-2</v>
      </c>
      <c r="K68" t="s">
        <v>558</v>
      </c>
      <c r="O68" s="288">
        <f>SUM(O65:O67)</f>
        <v>7.1809986823840252E-2</v>
      </c>
    </row>
    <row r="69" spans="2:19">
      <c r="Q69" s="4" t="s">
        <v>639</v>
      </c>
    </row>
    <row r="70" spans="2:19">
      <c r="Q70" s="4" t="s">
        <v>638</v>
      </c>
    </row>
    <row r="71" spans="2:19">
      <c r="B71" s="130"/>
      <c r="C71" s="130"/>
      <c r="D71" s="130"/>
      <c r="E71" s="130"/>
      <c r="F71" s="130"/>
      <c r="G71" s="130"/>
      <c r="K71" s="130"/>
      <c r="L71" s="276"/>
      <c r="M71" s="130"/>
      <c r="N71" s="276"/>
      <c r="O71" s="276"/>
    </row>
    <row r="72" spans="2:19">
      <c r="B72" t="s">
        <v>565</v>
      </c>
      <c r="E72" s="78"/>
      <c r="F72" s="78"/>
      <c r="K72" t="s">
        <v>566</v>
      </c>
      <c r="O72" s="261"/>
    </row>
    <row r="73" spans="2:19">
      <c r="B73" s="263"/>
      <c r="F73" s="78" t="s">
        <v>567</v>
      </c>
      <c r="G73" s="78" t="s">
        <v>568</v>
      </c>
    </row>
    <row r="74" spans="2:19">
      <c r="B74" t="s">
        <v>513</v>
      </c>
      <c r="E74" s="78">
        <f>O40</f>
        <v>51523</v>
      </c>
      <c r="F74" s="264">
        <f>E74/E76</f>
        <v>6.070361787451288E-2</v>
      </c>
      <c r="G74" s="195">
        <v>0.06</v>
      </c>
      <c r="K74" t="s">
        <v>569</v>
      </c>
      <c r="O74" s="23">
        <f>O65+0.65%</f>
        <v>4.8099999999999997E-2</v>
      </c>
      <c r="Q74" s="4" t="s">
        <v>599</v>
      </c>
    </row>
    <row r="75" spans="2:19">
      <c r="B75" t="s">
        <v>570</v>
      </c>
      <c r="E75" s="78">
        <f>O42</f>
        <v>797240.25009999995</v>
      </c>
      <c r="F75" s="264">
        <f>E75/E76</f>
        <v>0.93929638212548716</v>
      </c>
      <c r="G75" s="264">
        <f>1-G74</f>
        <v>0.94</v>
      </c>
      <c r="K75" t="s">
        <v>273</v>
      </c>
      <c r="O75" s="23">
        <f>G20</f>
        <v>0.245</v>
      </c>
      <c r="Q75" s="4" t="s">
        <v>640</v>
      </c>
      <c r="S75" t="s">
        <v>600</v>
      </c>
    </row>
    <row r="76" spans="2:19">
      <c r="B76" t="s">
        <v>572</v>
      </c>
      <c r="E76" s="271">
        <f>SUM(E74:E75)</f>
        <v>848763.25009999995</v>
      </c>
      <c r="F76" s="272">
        <f>SUM(F74:F75)</f>
        <v>1</v>
      </c>
      <c r="G76" s="272">
        <f>SUM(G74:G75)</f>
        <v>1</v>
      </c>
      <c r="K76" t="s">
        <v>571</v>
      </c>
      <c r="O76" s="288">
        <f>O74*(1-O75)</f>
        <v>3.6315500000000001E-2</v>
      </c>
      <c r="Q76" s="289" t="s">
        <v>602</v>
      </c>
    </row>
    <row r="77" spans="2:19">
      <c r="G77" s="262"/>
      <c r="Q77" s="289" t="s">
        <v>603</v>
      </c>
    </row>
    <row r="78" spans="2:19">
      <c r="B78" t="s">
        <v>573</v>
      </c>
      <c r="F78" s="250">
        <f>F74/F75</f>
        <v>6.462669188307707E-2</v>
      </c>
      <c r="G78" s="250">
        <f>G74/G75</f>
        <v>6.3829787234042548E-2</v>
      </c>
    </row>
    <row r="79" spans="2:19">
      <c r="G79" s="261"/>
      <c r="K79" s="194"/>
      <c r="L79" s="194"/>
      <c r="M79" s="194"/>
      <c r="N79" s="194"/>
      <c r="O79" s="194"/>
    </row>
    <row r="80" spans="2:19">
      <c r="B80" s="277"/>
      <c r="C80" s="277"/>
      <c r="D80" s="277"/>
      <c r="E80" s="277"/>
      <c r="F80" s="277"/>
      <c r="G80" s="278"/>
      <c r="N80" s="261"/>
      <c r="S80" s="78"/>
    </row>
    <row r="81" spans="2:19">
      <c r="B81" s="4" t="s">
        <v>594</v>
      </c>
      <c r="C81" s="4"/>
      <c r="D81" s="4"/>
      <c r="E81" s="4"/>
      <c r="F81" s="4"/>
      <c r="G81" s="283"/>
      <c r="K81" t="s">
        <v>411</v>
      </c>
      <c r="Q81" s="4" t="s">
        <v>619</v>
      </c>
      <c r="S81" s="78"/>
    </row>
    <row r="82" spans="2:19">
      <c r="B82" s="279" t="s">
        <v>575</v>
      </c>
      <c r="C82" s="4"/>
      <c r="D82" s="4"/>
      <c r="E82" s="4"/>
      <c r="F82" s="4"/>
      <c r="G82" s="4"/>
      <c r="N82" s="78" t="s">
        <v>574</v>
      </c>
      <c r="O82" s="78" t="s">
        <v>543</v>
      </c>
      <c r="Q82" s="4" t="s">
        <v>614</v>
      </c>
    </row>
    <row r="83" spans="2:19">
      <c r="B83" s="280" t="s">
        <v>577</v>
      </c>
      <c r="C83" s="4"/>
      <c r="D83" s="4"/>
      <c r="E83" s="4"/>
      <c r="F83" s="4"/>
      <c r="G83" s="4"/>
      <c r="K83" t="s">
        <v>576</v>
      </c>
      <c r="N83" s="264">
        <f>G74</f>
        <v>0.06</v>
      </c>
      <c r="O83" s="23">
        <f>O76</f>
        <v>3.6315500000000001E-2</v>
      </c>
      <c r="Q83" s="4" t="s">
        <v>615</v>
      </c>
    </row>
    <row r="84" spans="2:19">
      <c r="B84" s="281" t="s">
        <v>579</v>
      </c>
      <c r="C84" s="4"/>
      <c r="D84" s="4"/>
      <c r="E84" s="4"/>
      <c r="F84" s="4"/>
      <c r="G84" s="4"/>
      <c r="K84" t="s">
        <v>578</v>
      </c>
      <c r="N84" s="264">
        <f>G75</f>
        <v>0.94</v>
      </c>
      <c r="O84" s="23">
        <f>O68</f>
        <v>7.1809986823840252E-2</v>
      </c>
      <c r="Q84" s="4" t="s">
        <v>616</v>
      </c>
    </row>
    <row r="85" spans="2:19">
      <c r="B85" s="282" t="s">
        <v>580</v>
      </c>
      <c r="C85" s="4"/>
      <c r="D85" s="4"/>
      <c r="E85" s="4"/>
      <c r="F85" s="4"/>
      <c r="G85" s="4"/>
      <c r="Q85" s="4" t="s">
        <v>617</v>
      </c>
    </row>
    <row r="86" spans="2:19">
      <c r="B86" s="4"/>
      <c r="C86" s="4"/>
      <c r="D86" s="4"/>
      <c r="E86" s="4"/>
      <c r="F86" s="4"/>
      <c r="G86" s="4"/>
      <c r="Q86" s="4" t="s">
        <v>618</v>
      </c>
      <c r="S86" s="270"/>
    </row>
    <row r="87" spans="2:19">
      <c r="B87" s="4"/>
      <c r="C87" s="4"/>
      <c r="D87" s="4"/>
      <c r="E87" s="4"/>
      <c r="F87" s="4"/>
      <c r="G87" s="4"/>
      <c r="Q87" s="4" t="s">
        <v>636</v>
      </c>
      <c r="S87" s="270"/>
    </row>
    <row r="88" spans="2:19">
      <c r="B88" s="4"/>
      <c r="C88" s="4"/>
      <c r="D88" s="4"/>
      <c r="E88" s="4"/>
      <c r="F88" s="4"/>
      <c r="G88" s="4"/>
      <c r="K88" s="5" t="s">
        <v>411</v>
      </c>
      <c r="O88" s="355">
        <f>SUMPRODUCT(N83:N84,O83:O84)</f>
        <v>6.9680317614409834E-2</v>
      </c>
    </row>
    <row r="89" spans="2:19">
      <c r="B89" s="211" t="s">
        <v>625</v>
      </c>
      <c r="C89" s="204"/>
      <c r="D89" s="4"/>
    </row>
    <row r="90" spans="2:19">
      <c r="B90" s="211"/>
      <c r="C90" s="204"/>
      <c r="D90" s="4"/>
    </row>
    <row r="91" spans="2:19">
      <c r="B91" s="204" t="s">
        <v>400</v>
      </c>
      <c r="C91" s="206"/>
      <c r="D91" s="206"/>
      <c r="E91" s="207"/>
      <c r="G91" s="6">
        <v>40796</v>
      </c>
    </row>
    <row r="92" spans="2:19">
      <c r="B92" s="204" t="s">
        <v>406</v>
      </c>
      <c r="E92" s="212" t="s">
        <v>362</v>
      </c>
      <c r="G92" s="6">
        <v>7971</v>
      </c>
    </row>
    <row r="93" spans="2:19">
      <c r="B93" s="204" t="s">
        <v>407</v>
      </c>
      <c r="E93" s="213" t="s">
        <v>408</v>
      </c>
      <c r="G93" s="126">
        <v>114.58</v>
      </c>
      <c r="Q93" s="4" t="s">
        <v>642</v>
      </c>
    </row>
    <row r="94" spans="2:19">
      <c r="B94" s="204" t="s">
        <v>409</v>
      </c>
      <c r="C94" s="204"/>
      <c r="G94" s="196">
        <v>0.03</v>
      </c>
      <c r="Q94" s="4" t="s">
        <v>611</v>
      </c>
    </row>
    <row r="95" spans="2:19">
      <c r="B95" s="204" t="s">
        <v>410</v>
      </c>
      <c r="C95" s="204"/>
      <c r="G95" s="319">
        <v>11</v>
      </c>
      <c r="Q95" s="4" t="s">
        <v>612</v>
      </c>
    </row>
    <row r="96" spans="2:19">
      <c r="B96" s="204" t="s">
        <v>411</v>
      </c>
      <c r="C96" s="204"/>
      <c r="G96" s="196">
        <f>O88</f>
        <v>6.9680317614409834E-2</v>
      </c>
      <c r="Q96" s="4" t="s">
        <v>613</v>
      </c>
    </row>
    <row r="97" spans="2:17">
      <c r="B97" s="204" t="s">
        <v>412</v>
      </c>
      <c r="C97" s="204"/>
      <c r="G97" s="209">
        <f>IF(G94&gt;G96,1,0)</f>
        <v>0</v>
      </c>
    </row>
    <row r="99" spans="2:17">
      <c r="C99" s="23"/>
    </row>
    <row r="100" spans="2:17">
      <c r="B100" s="321"/>
      <c r="C100" s="323"/>
      <c r="D100" s="321"/>
      <c r="E100" s="321"/>
      <c r="F100" s="321"/>
      <c r="G100" s="321"/>
      <c r="H100" s="321"/>
      <c r="I100" s="321"/>
      <c r="J100" s="321"/>
      <c r="K100" s="321"/>
      <c r="L100" s="321"/>
      <c r="M100" s="321"/>
      <c r="N100" s="321"/>
      <c r="O100" s="321"/>
      <c r="P100" s="321"/>
    </row>
    <row r="101" spans="2:17">
      <c r="C101" s="23"/>
    </row>
    <row r="102" spans="2:17">
      <c r="B102" s="356" t="s">
        <v>626</v>
      </c>
      <c r="C102" s="357"/>
      <c r="D102" s="357"/>
      <c r="E102" s="357"/>
      <c r="F102" s="357"/>
      <c r="G102" s="357"/>
      <c r="H102" s="357"/>
      <c r="I102" s="357"/>
      <c r="J102" s="357"/>
      <c r="K102" s="357"/>
      <c r="L102" s="357"/>
      <c r="M102" s="357"/>
      <c r="N102" s="357"/>
      <c r="O102" s="357"/>
      <c r="P102" s="356"/>
    </row>
    <row r="107" spans="2:17">
      <c r="B107" s="78"/>
      <c r="C107" s="320"/>
      <c r="D107" s="363" t="s">
        <v>629</v>
      </c>
      <c r="E107" s="363"/>
      <c r="F107" s="363"/>
      <c r="G107" s="363"/>
      <c r="H107" s="363"/>
      <c r="L107" s="363" t="s">
        <v>632</v>
      </c>
      <c r="M107" s="363"/>
      <c r="N107" s="363"/>
      <c r="O107" s="363"/>
      <c r="P107" s="363"/>
    </row>
    <row r="108" spans="2:17">
      <c r="B108" s="17"/>
      <c r="E108" s="339"/>
      <c r="F108" s="339"/>
      <c r="G108" s="339"/>
    </row>
    <row r="109" spans="2:17">
      <c r="E109" s="5"/>
      <c r="F109" s="340" t="s">
        <v>630</v>
      </c>
      <c r="G109" s="5"/>
      <c r="M109" s="5"/>
      <c r="N109" s="340" t="s">
        <v>630</v>
      </c>
      <c r="O109" s="5"/>
      <c r="Q109"/>
    </row>
    <row r="110" spans="2:17">
      <c r="C110" s="338">
        <f ca="1">Model!J638</f>
        <v>817660.71828655864</v>
      </c>
      <c r="D110" s="23">
        <f>Model!D709</f>
        <v>2.5000000000000001E-2</v>
      </c>
      <c r="E110" s="23">
        <f>Model!E709</f>
        <v>2.75E-2</v>
      </c>
      <c r="F110" s="23">
        <f>Model!F709</f>
        <v>0.03</v>
      </c>
      <c r="G110" s="23">
        <f>Model!G709</f>
        <v>3.2500000000000001E-2</v>
      </c>
      <c r="H110" s="23">
        <f>Model!H709</f>
        <v>3.5000000000000003E-2</v>
      </c>
      <c r="L110" s="23">
        <f>D120</f>
        <v>2.5000000000000001E-2</v>
      </c>
      <c r="M110" s="23">
        <f>E120</f>
        <v>2.75E-2</v>
      </c>
      <c r="N110" s="23">
        <f>F120</f>
        <v>0.03</v>
      </c>
      <c r="O110" s="23">
        <f>G120</f>
        <v>3.2500000000000001E-2</v>
      </c>
      <c r="P110" s="23">
        <f>H120</f>
        <v>3.5000000000000003E-2</v>
      </c>
    </row>
    <row r="111" spans="2:17">
      <c r="B111" s="362" t="s">
        <v>343</v>
      </c>
      <c r="C111" s="240">
        <f>Model!C710</f>
        <v>6.5000000000000002E-2</v>
      </c>
      <c r="D111" s="324">
        <f>Model!D710</f>
        <v>826091.07288395579</v>
      </c>
      <c r="E111" s="271">
        <f>Model!E710</f>
        <v>876040.87612574163</v>
      </c>
      <c r="F111" s="271">
        <f>Model!F710</f>
        <v>933126.36554492544</v>
      </c>
      <c r="G111" s="271">
        <f>Model!G710</f>
        <v>998994.23795167601</v>
      </c>
      <c r="H111" s="325">
        <f>Model!H710</f>
        <v>1075840.0890928849</v>
      </c>
      <c r="J111" s="362" t="s">
        <v>343</v>
      </c>
      <c r="K111" s="264">
        <f>C121</f>
        <v>6.5000000000000002E-2</v>
      </c>
      <c r="L111" s="331">
        <f t="shared" ref="L111:P115" si="6">D121/$G$92</f>
        <v>98.519015541833625</v>
      </c>
      <c r="M111" s="274">
        <f t="shared" si="6"/>
        <v>104.7854567966054</v>
      </c>
      <c r="N111" s="274">
        <f t="shared" si="6"/>
        <v>111.94710394491599</v>
      </c>
      <c r="O111" s="274">
        <f t="shared" si="6"/>
        <v>120.21054296219747</v>
      </c>
      <c r="P111" s="332">
        <f t="shared" si="6"/>
        <v>129.8512218156925</v>
      </c>
    </row>
    <row r="112" spans="2:17">
      <c r="B112" s="362"/>
      <c r="C112" s="240">
        <f>Model!C711</f>
        <v>6.7500000000000004E-2</v>
      </c>
      <c r="D112" s="326">
        <f>Model!D711</f>
        <v>774726.17159907415</v>
      </c>
      <c r="E112" s="78">
        <f>Model!E711</f>
        <v>818371.00481239764</v>
      </c>
      <c r="F112" s="78">
        <f>Model!F711</f>
        <v>867835.14912083116</v>
      </c>
      <c r="G112" s="78">
        <f>Model!G711</f>
        <v>924365.59975904075</v>
      </c>
      <c r="H112" s="327">
        <f>Model!H711</f>
        <v>989593.04280312883</v>
      </c>
      <c r="J112" s="362"/>
      <c r="K112" s="264">
        <f>C122</f>
        <v>6.7500000000000004E-2</v>
      </c>
      <c r="L112" s="333">
        <f t="shared" si="6"/>
        <v>92.075043482508363</v>
      </c>
      <c r="M112" s="267">
        <f t="shared" si="6"/>
        <v>97.550496150093792</v>
      </c>
      <c r="N112" s="267">
        <f t="shared" si="6"/>
        <v>103.75600917335731</v>
      </c>
      <c r="O112" s="267">
        <f t="shared" si="6"/>
        <v>110.84802405708703</v>
      </c>
      <c r="P112" s="334">
        <f t="shared" si="6"/>
        <v>119.03111815369826</v>
      </c>
    </row>
    <row r="113" spans="2:16">
      <c r="B113" s="362"/>
      <c r="C113" s="240">
        <f>Model!C712</f>
        <v>6.9680317614409834E-2</v>
      </c>
      <c r="D113" s="326">
        <f>Model!D712</f>
        <v>734649.73502339108</v>
      </c>
      <c r="E113" s="78">
        <f>Model!E712</f>
        <v>773685.53523663629</v>
      </c>
      <c r="F113" s="349">
        <f>Model!F712</f>
        <v>817640.121709681</v>
      </c>
      <c r="G113" s="78">
        <f>Model!G712</f>
        <v>867505.71019848157</v>
      </c>
      <c r="H113" s="327">
        <f>Model!H712</f>
        <v>924560.61988139967</v>
      </c>
      <c r="J113" s="362"/>
      <c r="K113" s="264">
        <f>C123</f>
        <v>6.9680317614409834E-2</v>
      </c>
      <c r="L113" s="333">
        <f t="shared" si="6"/>
        <v>87.04726320704944</v>
      </c>
      <c r="M113" s="267">
        <f t="shared" si="6"/>
        <v>91.944490683306526</v>
      </c>
      <c r="N113" s="350">
        <f t="shared" si="6"/>
        <v>97.458803375947937</v>
      </c>
      <c r="O113" s="267">
        <f t="shared" si="6"/>
        <v>103.71467948795403</v>
      </c>
      <c r="P113" s="334">
        <f t="shared" si="6"/>
        <v>110.87249026237608</v>
      </c>
    </row>
    <row r="114" spans="2:16">
      <c r="B114" s="362"/>
      <c r="C114" s="240">
        <f>Model!C713</f>
        <v>7.2499999999999995E-2</v>
      </c>
      <c r="D114" s="326">
        <f>Model!D713</f>
        <v>688312.36354977475</v>
      </c>
      <c r="E114" s="78">
        <f>Model!E713</f>
        <v>722354.65649702365</v>
      </c>
      <c r="F114" s="78">
        <f>Model!F713</f>
        <v>760401.92508512549</v>
      </c>
      <c r="G114" s="78">
        <f>Model!G713</f>
        <v>803205.10224674002</v>
      </c>
      <c r="H114" s="327">
        <f>Model!H713</f>
        <v>851715.36969656986</v>
      </c>
      <c r="J114" s="362"/>
      <c r="K114" s="264">
        <f>C124</f>
        <v>7.2499999999999995E-2</v>
      </c>
      <c r="L114" s="333">
        <f t="shared" si="6"/>
        <v>81.234018761733125</v>
      </c>
      <c r="M114" s="267">
        <f t="shared" si="6"/>
        <v>85.504786914693724</v>
      </c>
      <c r="N114" s="267">
        <f t="shared" si="6"/>
        <v>90.27799837976734</v>
      </c>
      <c r="O114" s="267">
        <f t="shared" si="6"/>
        <v>95.647861277975167</v>
      </c>
      <c r="P114" s="334">
        <f t="shared" si="6"/>
        <v>101.73370589594403</v>
      </c>
    </row>
    <row r="115" spans="2:16">
      <c r="B115" s="362"/>
      <c r="C115" s="240">
        <f>Model!C714</f>
        <v>7.4999999999999997E-2</v>
      </c>
      <c r="D115" s="328">
        <f>Model!D714</f>
        <v>651631.02222397702</v>
      </c>
      <c r="E115" s="329">
        <f>Model!E714</f>
        <v>681973.2644861727</v>
      </c>
      <c r="F115" s="329">
        <f>Model!F714</f>
        <v>715686.8669997236</v>
      </c>
      <c r="G115" s="329">
        <f>Model!G714</f>
        <v>753366.77569133928</v>
      </c>
      <c r="H115" s="330">
        <f>Model!H714</f>
        <v>795756.67296940694</v>
      </c>
      <c r="J115" s="362"/>
      <c r="K115" s="264">
        <f>C125</f>
        <v>7.4999999999999997E-2</v>
      </c>
      <c r="L115" s="335">
        <f t="shared" si="6"/>
        <v>76.632169392043281</v>
      </c>
      <c r="M115" s="336">
        <f t="shared" si="6"/>
        <v>80.438748524171714</v>
      </c>
      <c r="N115" s="336">
        <f t="shared" si="6"/>
        <v>84.668280893203317</v>
      </c>
      <c r="O115" s="336">
        <f t="shared" si="6"/>
        <v>89.395405305650399</v>
      </c>
      <c r="P115" s="337">
        <f t="shared" si="6"/>
        <v>94.713420269653355</v>
      </c>
    </row>
    <row r="117" spans="2:16">
      <c r="D117" s="363" t="s">
        <v>359</v>
      </c>
      <c r="E117" s="363"/>
      <c r="F117" s="363"/>
      <c r="G117" s="363"/>
      <c r="H117" s="363"/>
      <c r="L117" s="363" t="s">
        <v>631</v>
      </c>
      <c r="M117" s="363"/>
      <c r="N117" s="363"/>
      <c r="O117" s="363"/>
      <c r="P117" s="363"/>
    </row>
    <row r="119" spans="2:16" ht="14.4" customHeight="1">
      <c r="E119" s="5"/>
      <c r="F119" s="340" t="s">
        <v>630</v>
      </c>
      <c r="G119" s="5"/>
      <c r="M119" s="5"/>
      <c r="N119" s="340" t="s">
        <v>630</v>
      </c>
      <c r="O119" s="5"/>
    </row>
    <row r="120" spans="2:16">
      <c r="D120" s="23">
        <f>D110</f>
        <v>2.5000000000000001E-2</v>
      </c>
      <c r="E120" s="23">
        <f>E110</f>
        <v>2.75E-2</v>
      </c>
      <c r="F120" s="23">
        <f>F110</f>
        <v>0.03</v>
      </c>
      <c r="G120" s="23">
        <f>G110</f>
        <v>3.2500000000000001E-2</v>
      </c>
      <c r="H120" s="23">
        <f>H110</f>
        <v>3.5000000000000003E-2</v>
      </c>
      <c r="L120" s="23">
        <f>D120</f>
        <v>2.5000000000000001E-2</v>
      </c>
      <c r="M120" s="23">
        <f>E120</f>
        <v>2.75E-2</v>
      </c>
      <c r="N120" s="23">
        <f>F120</f>
        <v>0.03</v>
      </c>
      <c r="O120" s="23">
        <f>G120</f>
        <v>3.2500000000000001E-2</v>
      </c>
      <c r="P120" s="23">
        <f>H120</f>
        <v>3.5000000000000003E-2</v>
      </c>
    </row>
    <row r="121" spans="2:16">
      <c r="B121" s="362" t="s">
        <v>343</v>
      </c>
      <c r="C121" s="264">
        <f>C111</f>
        <v>6.5000000000000002E-2</v>
      </c>
      <c r="D121" s="324">
        <f t="shared" ref="D121:H125" si="7">D111-$G$91</f>
        <v>785295.07288395579</v>
      </c>
      <c r="E121" s="271">
        <f t="shared" si="7"/>
        <v>835244.87612574163</v>
      </c>
      <c r="F121" s="271">
        <f t="shared" si="7"/>
        <v>892330.36554492544</v>
      </c>
      <c r="G121" s="271">
        <f t="shared" si="7"/>
        <v>958198.23795167601</v>
      </c>
      <c r="H121" s="325">
        <f t="shared" si="7"/>
        <v>1035044.0890928849</v>
      </c>
      <c r="J121" s="362" t="s">
        <v>343</v>
      </c>
      <c r="K121" s="264">
        <f>C121</f>
        <v>6.5000000000000002E-2</v>
      </c>
      <c r="L121" s="341">
        <f>L111/$G$93-1</f>
        <v>-0.14017266938528861</v>
      </c>
      <c r="M121" s="288">
        <f t="shared" ref="M121:P121" si="8">M111/$G$93-1</f>
        <v>-8.5482136528142738E-2</v>
      </c>
      <c r="N121" s="288">
        <f t="shared" si="8"/>
        <v>-2.2978670405690349E-2</v>
      </c>
      <c r="O121" s="288">
        <f t="shared" si="8"/>
        <v>4.9140713581754758E-2</v>
      </c>
      <c r="P121" s="342">
        <f t="shared" si="8"/>
        <v>0.13327999490044062</v>
      </c>
    </row>
    <row r="122" spans="2:16">
      <c r="B122" s="362"/>
      <c r="C122" s="264">
        <f>C112</f>
        <v>6.7500000000000004E-2</v>
      </c>
      <c r="D122" s="326">
        <f t="shared" si="7"/>
        <v>733930.17159907415</v>
      </c>
      <c r="E122" s="78">
        <f t="shared" si="7"/>
        <v>777575.00481239764</v>
      </c>
      <c r="F122" s="78">
        <f t="shared" si="7"/>
        <v>827039.14912083116</v>
      </c>
      <c r="G122" s="78">
        <f t="shared" si="7"/>
        <v>883569.59975904075</v>
      </c>
      <c r="H122" s="327">
        <f t="shared" si="7"/>
        <v>948797.04280312883</v>
      </c>
      <c r="J122" s="362"/>
      <c r="K122" s="264">
        <f>C122</f>
        <v>6.7500000000000004E-2</v>
      </c>
      <c r="L122" s="343">
        <f t="shared" ref="L122:P122" si="9">L112/$G$93-1</f>
        <v>-0.19641260706485975</v>
      </c>
      <c r="M122" s="23">
        <f t="shared" si="9"/>
        <v>-0.14862544815767331</v>
      </c>
      <c r="N122" s="23">
        <f t="shared" si="9"/>
        <v>-9.4466668062861636E-2</v>
      </c>
      <c r="O122" s="23">
        <f t="shared" si="9"/>
        <v>-3.2570919383076991E-2</v>
      </c>
      <c r="P122" s="344">
        <f t="shared" si="9"/>
        <v>3.8847252170520763E-2</v>
      </c>
    </row>
    <row r="123" spans="2:16">
      <c r="B123" s="362"/>
      <c r="C123" s="264">
        <f>C113</f>
        <v>6.9680317614409834E-2</v>
      </c>
      <c r="D123" s="326">
        <f t="shared" si="7"/>
        <v>693853.73502339108</v>
      </c>
      <c r="E123" s="78">
        <f t="shared" si="7"/>
        <v>732889.53523663629</v>
      </c>
      <c r="F123" s="349">
        <f t="shared" si="7"/>
        <v>776844.121709681</v>
      </c>
      <c r="G123" s="78">
        <f t="shared" si="7"/>
        <v>826709.71019848157</v>
      </c>
      <c r="H123" s="327">
        <f t="shared" si="7"/>
        <v>883764.61988139967</v>
      </c>
      <c r="J123" s="362"/>
      <c r="K123" s="264">
        <f>C123</f>
        <v>6.9680317614409834E-2</v>
      </c>
      <c r="L123" s="343">
        <f t="shared" ref="L123:P123" si="10">L113/$G$93-1</f>
        <v>-0.24029269325319047</v>
      </c>
      <c r="M123" s="23">
        <f t="shared" si="10"/>
        <v>-0.19755201009507306</v>
      </c>
      <c r="N123" s="348">
        <f t="shared" si="10"/>
        <v>-0.14942569928479721</v>
      </c>
      <c r="O123" s="23">
        <f t="shared" si="10"/>
        <v>-9.4827373992371844E-2</v>
      </c>
      <c r="P123" s="344">
        <f t="shared" si="10"/>
        <v>-3.2357389925152025E-2</v>
      </c>
    </row>
    <row r="124" spans="2:16">
      <c r="B124" s="362"/>
      <c r="C124" s="264">
        <f>C114</f>
        <v>7.2499999999999995E-2</v>
      </c>
      <c r="D124" s="326">
        <f t="shared" si="7"/>
        <v>647516.36354977475</v>
      </c>
      <c r="E124" s="78">
        <f t="shared" si="7"/>
        <v>681558.65649702365</v>
      </c>
      <c r="F124" s="78">
        <f t="shared" si="7"/>
        <v>719605.92508512549</v>
      </c>
      <c r="G124" s="78">
        <f t="shared" si="7"/>
        <v>762409.10224674002</v>
      </c>
      <c r="H124" s="327">
        <f t="shared" si="7"/>
        <v>810919.36969656986</v>
      </c>
      <c r="J124" s="362"/>
      <c r="K124" s="264">
        <f>C124</f>
        <v>7.2499999999999995E-2</v>
      </c>
      <c r="L124" s="343">
        <f t="shared" ref="L124:P124" si="11">L114/$G$93-1</f>
        <v>-0.29102793889218781</v>
      </c>
      <c r="M124" s="23">
        <f t="shared" si="11"/>
        <v>-0.25375469615383373</v>
      </c>
      <c r="N124" s="23">
        <f t="shared" si="11"/>
        <v>-0.21209636603449689</v>
      </c>
      <c r="O124" s="23">
        <f t="shared" si="11"/>
        <v>-0.1652307446502429</v>
      </c>
      <c r="P124" s="344">
        <f t="shared" si="11"/>
        <v>-0.11211637374808847</v>
      </c>
    </row>
    <row r="125" spans="2:16">
      <c r="B125" s="362"/>
      <c r="C125" s="264">
        <f>C115</f>
        <v>7.4999999999999997E-2</v>
      </c>
      <c r="D125" s="328">
        <f t="shared" si="7"/>
        <v>610835.02222397702</v>
      </c>
      <c r="E125" s="329">
        <f t="shared" si="7"/>
        <v>641177.2644861727</v>
      </c>
      <c r="F125" s="329">
        <f t="shared" si="7"/>
        <v>674890.8669997236</v>
      </c>
      <c r="G125" s="329">
        <f t="shared" si="7"/>
        <v>712570.77569133928</v>
      </c>
      <c r="H125" s="330">
        <f t="shared" si="7"/>
        <v>754960.67296940694</v>
      </c>
      <c r="J125" s="362"/>
      <c r="K125" s="264">
        <f>C125</f>
        <v>7.4999999999999997E-2</v>
      </c>
      <c r="L125" s="345">
        <f t="shared" ref="L125:P125" si="12">L115/$G$93-1</f>
        <v>-0.33119070176258258</v>
      </c>
      <c r="M125" s="346">
        <f t="shared" si="12"/>
        <v>-0.29796868105976859</v>
      </c>
      <c r="N125" s="346">
        <f t="shared" si="12"/>
        <v>-0.2610553247233085</v>
      </c>
      <c r="O125" s="346">
        <f t="shared" si="12"/>
        <v>-0.21979922058255885</v>
      </c>
      <c r="P125" s="347">
        <f t="shared" si="12"/>
        <v>-0.17338610342421579</v>
      </c>
    </row>
  </sheetData>
  <mergeCells count="8">
    <mergeCell ref="B111:B115"/>
    <mergeCell ref="D117:H117"/>
    <mergeCell ref="B121:B125"/>
    <mergeCell ref="D107:H107"/>
    <mergeCell ref="L107:P107"/>
    <mergeCell ref="L117:P117"/>
    <mergeCell ref="J111:J115"/>
    <mergeCell ref="J121:J125"/>
  </mergeCells>
  <conditionalFormatting sqref="D30:D32 G30:G33 B32:B33">
    <cfRule type="containsText" dxfId="19" priority="21" operator="containsText" text="OK">
      <formula>NOT(ISERROR(SEARCH("OK",B30)))</formula>
    </cfRule>
    <cfRule type="containsText" dxfId="18" priority="22" operator="containsText" text="ERROR">
      <formula>NOT(ISERROR(SEARCH("ERROR",B30)))</formula>
    </cfRule>
  </conditionalFormatting>
  <conditionalFormatting sqref="G20:G22">
    <cfRule type="containsText" dxfId="17" priority="17" operator="containsText" text="OK">
      <formula>NOT(ISERROR(SEARCH("OK",G20)))</formula>
    </cfRule>
    <cfRule type="containsText" dxfId="16" priority="18" operator="containsText" text="ERROR">
      <formula>NOT(ISERROR(SEARCH("ERROR",G20)))</formula>
    </cfRule>
  </conditionalFormatting>
  <conditionalFormatting sqref="G74">
    <cfRule type="containsText" dxfId="15" priority="5" operator="containsText" text="OK">
      <formula>NOT(ISERROR(SEARCH("OK",G74)))</formula>
    </cfRule>
    <cfRule type="containsText" dxfId="14" priority="6" operator="containsText" text="ERROR">
      <formula>NOT(ISERROR(SEARCH("ERROR",G74)))</formula>
    </cfRule>
  </conditionalFormatting>
  <conditionalFormatting sqref="G94">
    <cfRule type="containsText" dxfId="13" priority="13" operator="containsText" text="OK">
      <formula>NOT(ISERROR(SEARCH("OK",G94)))</formula>
    </cfRule>
    <cfRule type="containsText" dxfId="12" priority="14" operator="containsText" text="ERROR">
      <formula>NOT(ISERROR(SEARCH("ERROR",G94)))</formula>
    </cfRule>
  </conditionalFormatting>
  <conditionalFormatting sqref="G96">
    <cfRule type="containsText" dxfId="11" priority="3" operator="containsText" text="OK">
      <formula>NOT(ISERROR(SEARCH("OK",G96)))</formula>
    </cfRule>
    <cfRule type="containsText" dxfId="10" priority="4" operator="containsText" text="ERROR">
      <formula>NOT(ISERROR(SEARCH("ERROR",G96)))</formula>
    </cfRule>
  </conditionalFormatting>
  <conditionalFormatting sqref="O20">
    <cfRule type="containsText" dxfId="9" priority="19" operator="containsText" text="OK">
      <formula>NOT(ISERROR(SEARCH("OK",O20)))</formula>
    </cfRule>
    <cfRule type="containsText" dxfId="8" priority="20" operator="containsText" text="ERROR">
      <formula>NOT(ISERROR(SEARCH("ERROR",O20)))</formula>
    </cfRule>
  </conditionalFormatting>
  <conditionalFormatting sqref="O30:O31">
    <cfRule type="containsText" dxfId="7" priority="9" operator="containsText" text="OK">
      <formula>NOT(ISERROR(SEARCH("OK",O30)))</formula>
    </cfRule>
    <cfRule type="containsText" dxfId="6" priority="10" operator="containsText" text="ERROR">
      <formula>NOT(ISERROR(SEARCH("ERROR",O30)))</formula>
    </cfRule>
  </conditionalFormatting>
  <conditionalFormatting sqref="O38:O39">
    <cfRule type="containsText" dxfId="5" priority="15" operator="containsText" text="OK">
      <formula>NOT(ISERROR(SEARCH("OK",O38)))</formula>
    </cfRule>
    <cfRule type="containsText" dxfId="4" priority="16" operator="containsText" text="ERROR">
      <formula>NOT(ISERROR(SEARCH("ERROR",O38)))</formula>
    </cfRule>
  </conditionalFormatting>
  <conditionalFormatting sqref="O65:O66">
    <cfRule type="containsText" dxfId="3" priority="7" operator="containsText" text="OK">
      <formula>NOT(ISERROR(SEARCH("OK",O65)))</formula>
    </cfRule>
    <cfRule type="containsText" dxfId="2" priority="8" operator="containsText" text="ERROR">
      <formula>NOT(ISERROR(SEARCH("ERROR",O65)))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8DED9-4A2A-4EED-8FF6-AA93DDE381DE}">
  <dimension ref="A1:AD728"/>
  <sheetViews>
    <sheetView showGridLines="0" topLeftCell="A697" zoomScale="85" zoomScaleNormal="85" workbookViewId="0">
      <selection activeCell="B700" sqref="B700:E704"/>
    </sheetView>
  </sheetViews>
  <sheetFormatPr defaultRowHeight="14.4"/>
  <cols>
    <col min="1" max="1" width="2.77734375" customWidth="1"/>
    <col min="4" max="4" width="8.88671875" customWidth="1"/>
    <col min="6" max="6" width="11.21875" bestFit="1" customWidth="1"/>
    <col min="7" max="9" width="9.6640625" bestFit="1" customWidth="1"/>
    <col min="10" max="12" width="10.109375" bestFit="1" customWidth="1"/>
    <col min="13" max="13" width="10" customWidth="1"/>
    <col min="14" max="14" width="10.109375" bestFit="1" customWidth="1"/>
    <col min="15" max="16" width="10.109375" customWidth="1"/>
    <col min="18" max="18" width="8.88671875" style="180"/>
    <col min="19" max="19" width="11.109375" customWidth="1"/>
    <col min="20" max="20" width="8.88671875" customWidth="1"/>
    <col min="22" max="22" width="9.77734375" bestFit="1" customWidth="1"/>
    <col min="23" max="26" width="11.109375" bestFit="1" customWidth="1"/>
    <col min="29" max="29" width="9.77734375" bestFit="1" customWidth="1"/>
  </cols>
  <sheetData>
    <row r="1" spans="1:18">
      <c r="A1" t="s">
        <v>95</v>
      </c>
      <c r="B1" s="356" t="s">
        <v>94</v>
      </c>
      <c r="C1" s="357"/>
      <c r="D1" s="357"/>
      <c r="E1" s="357"/>
      <c r="F1" s="357"/>
      <c r="G1" s="357"/>
      <c r="H1" s="357"/>
      <c r="I1" s="357"/>
      <c r="J1" s="357"/>
      <c r="K1" s="357"/>
      <c r="L1" s="357"/>
      <c r="M1" s="357"/>
      <c r="N1" s="357"/>
      <c r="O1" s="357"/>
      <c r="P1" s="357"/>
      <c r="R1" s="179" t="s">
        <v>371</v>
      </c>
    </row>
    <row r="2" spans="1:18">
      <c r="B2" s="4" t="s">
        <v>1</v>
      </c>
    </row>
    <row r="3" spans="1:18">
      <c r="B3" s="4"/>
      <c r="F3" s="3">
        <v>44592</v>
      </c>
      <c r="G3" s="3">
        <f t="shared" ref="G3:O3" si="0">EDATE(F3,12)</f>
        <v>44957</v>
      </c>
      <c r="H3" s="3">
        <f t="shared" si="0"/>
        <v>45322</v>
      </c>
      <c r="I3" s="3">
        <f t="shared" si="0"/>
        <v>45688</v>
      </c>
      <c r="J3" s="3">
        <f t="shared" si="0"/>
        <v>46053</v>
      </c>
      <c r="K3" s="2">
        <f t="shared" si="0"/>
        <v>46418</v>
      </c>
      <c r="L3" s="2">
        <f t="shared" si="0"/>
        <v>46783</v>
      </c>
      <c r="M3" s="2">
        <f t="shared" si="0"/>
        <v>47149</v>
      </c>
      <c r="N3" s="2">
        <f t="shared" si="0"/>
        <v>47514</v>
      </c>
      <c r="O3" s="2">
        <f t="shared" si="0"/>
        <v>47879</v>
      </c>
      <c r="P3" s="1" t="s">
        <v>0</v>
      </c>
    </row>
    <row r="5" spans="1:18">
      <c r="B5" s="7" t="s">
        <v>93</v>
      </c>
      <c r="F5" s="6">
        <v>567762</v>
      </c>
      <c r="G5" s="6">
        <v>605881</v>
      </c>
      <c r="H5" s="6">
        <v>642637</v>
      </c>
      <c r="I5" s="6">
        <v>674538</v>
      </c>
      <c r="J5" s="6">
        <v>706413</v>
      </c>
      <c r="K5" s="14">
        <f>K162</f>
        <v>742757.80249999999</v>
      </c>
      <c r="L5" s="14">
        <f t="shared" ref="L5:P5" si="1">L162</f>
        <v>782925.83438749996</v>
      </c>
      <c r="M5" s="14">
        <f t="shared" si="1"/>
        <v>825366.95603781263</v>
      </c>
      <c r="N5" s="14">
        <f t="shared" si="1"/>
        <v>872277.87014171202</v>
      </c>
      <c r="O5" s="14">
        <f t="shared" si="1"/>
        <v>924146.59123936156</v>
      </c>
      <c r="P5" s="14">
        <f t="shared" si="1"/>
        <v>981526.5422561625</v>
      </c>
    </row>
    <row r="6" spans="1:18">
      <c r="B6" s="7" t="s">
        <v>92</v>
      </c>
      <c r="F6" s="6">
        <v>4992</v>
      </c>
      <c r="G6" s="6">
        <v>5408</v>
      </c>
      <c r="H6" s="6">
        <v>5488</v>
      </c>
      <c r="I6" s="6">
        <v>6447</v>
      </c>
      <c r="J6" s="6">
        <v>6750</v>
      </c>
      <c r="K6" s="14">
        <f t="shared" ref="K6:P6" si="2">K163</f>
        <v>7104.375</v>
      </c>
      <c r="L6" s="14">
        <f t="shared" si="2"/>
        <v>7495.1156249999995</v>
      </c>
      <c r="M6" s="14">
        <f t="shared" si="2"/>
        <v>7907.346984374999</v>
      </c>
      <c r="N6" s="14">
        <f t="shared" si="2"/>
        <v>8362.0194359765628</v>
      </c>
      <c r="O6" s="14">
        <f t="shared" si="2"/>
        <v>8863.7406021351562</v>
      </c>
      <c r="P6" s="14">
        <f t="shared" si="2"/>
        <v>9417.7243897686039</v>
      </c>
    </row>
    <row r="7" spans="1:18">
      <c r="B7" s="5" t="s">
        <v>91</v>
      </c>
      <c r="F7" s="183">
        <v>572754</v>
      </c>
      <c r="G7" s="183">
        <v>611289</v>
      </c>
      <c r="H7" s="183">
        <v>648125</v>
      </c>
      <c r="I7" s="183">
        <v>680985</v>
      </c>
      <c r="J7" s="183">
        <v>713163</v>
      </c>
      <c r="K7" s="13">
        <f>SUM(K5:K6)</f>
        <v>749862.17749999999</v>
      </c>
      <c r="L7" s="13">
        <f t="shared" ref="L7:P7" si="3">SUM(L5:L6)</f>
        <v>790420.95001249993</v>
      </c>
      <c r="M7" s="13">
        <f t="shared" si="3"/>
        <v>833274.30302218767</v>
      </c>
      <c r="N7" s="13">
        <f t="shared" si="3"/>
        <v>880639.88957768853</v>
      </c>
      <c r="O7" s="13">
        <f t="shared" si="3"/>
        <v>933010.33184149675</v>
      </c>
      <c r="P7" s="13">
        <f t="shared" si="3"/>
        <v>990944.26664593106</v>
      </c>
    </row>
    <row r="8" spans="1:18">
      <c r="F8" s="6"/>
      <c r="G8" s="6"/>
      <c r="H8" s="6"/>
      <c r="I8" s="6"/>
      <c r="J8" s="6"/>
      <c r="K8" s="14"/>
      <c r="L8" s="14"/>
      <c r="M8" s="14"/>
      <c r="N8" s="14"/>
      <c r="O8" s="14"/>
      <c r="P8" s="14"/>
    </row>
    <row r="9" spans="1:18">
      <c r="B9" s="7" t="s">
        <v>90</v>
      </c>
      <c r="F9" s="6">
        <v>-429000</v>
      </c>
      <c r="G9" s="6">
        <v>-463721</v>
      </c>
      <c r="H9" s="6">
        <v>-490142</v>
      </c>
      <c r="I9" s="6">
        <v>-511753</v>
      </c>
      <c r="J9" s="6">
        <v>-535395</v>
      </c>
      <c r="K9" s="14">
        <f>K182*-1</f>
        <v>-562396.63312499993</v>
      </c>
      <c r="L9" s="14">
        <f t="shared" ref="L9:P9" si="4">L182*-1</f>
        <v>-592420.50203436869</v>
      </c>
      <c r="M9" s="14">
        <f t="shared" si="4"/>
        <v>-624122.45296361856</v>
      </c>
      <c r="N9" s="14">
        <f t="shared" si="4"/>
        <v>-659158.95734889992</v>
      </c>
      <c r="O9" s="14">
        <f t="shared" si="4"/>
        <v>-697891.72821743961</v>
      </c>
      <c r="P9" s="14">
        <f t="shared" si="4"/>
        <v>-740730.83931783354</v>
      </c>
    </row>
    <row r="10" spans="1:18">
      <c r="B10" s="7" t="s">
        <v>89</v>
      </c>
      <c r="F10" s="6">
        <v>-117812</v>
      </c>
      <c r="G10" s="6">
        <v>-127140</v>
      </c>
      <c r="H10" s="6">
        <v>-130971</v>
      </c>
      <c r="I10" s="6">
        <v>-139884</v>
      </c>
      <c r="J10" s="6">
        <v>-147943</v>
      </c>
      <c r="K10" s="14">
        <f>K183*-1</f>
        <v>-153721.7463875</v>
      </c>
      <c r="L10" s="14">
        <f t="shared" ref="L10:P10" si="5">L183*-1</f>
        <v>-161641.08427755622</v>
      </c>
      <c r="M10" s="14">
        <f t="shared" si="5"/>
        <v>-169987.95781652626</v>
      </c>
      <c r="N10" s="14">
        <f t="shared" si="5"/>
        <v>-179210.21752905959</v>
      </c>
      <c r="O10" s="14">
        <f t="shared" si="5"/>
        <v>-189401.09736382385</v>
      </c>
      <c r="P10" s="14">
        <f t="shared" si="5"/>
        <v>-200666.21399580105</v>
      </c>
    </row>
    <row r="11" spans="1:18">
      <c r="B11" s="5" t="s">
        <v>88</v>
      </c>
      <c r="F11" s="183">
        <v>25942</v>
      </c>
      <c r="G11" s="183">
        <v>20428</v>
      </c>
      <c r="H11" s="183">
        <v>27012</v>
      </c>
      <c r="I11" s="183">
        <v>29348</v>
      </c>
      <c r="J11" s="183">
        <v>29825</v>
      </c>
      <c r="K11" s="13">
        <f>K7+K9+K10</f>
        <v>33743.79798750006</v>
      </c>
      <c r="L11" s="13">
        <f t="shared" ref="L11:P11" si="6">L7+L9+L10</f>
        <v>36359.363700575021</v>
      </c>
      <c r="M11" s="13">
        <f t="shared" si="6"/>
        <v>39163.892242042843</v>
      </c>
      <c r="N11" s="13">
        <f t="shared" si="6"/>
        <v>42270.714699729026</v>
      </c>
      <c r="O11" s="13">
        <f t="shared" si="6"/>
        <v>45717.506260233291</v>
      </c>
      <c r="P11" s="13">
        <f t="shared" si="6"/>
        <v>49547.213332296466</v>
      </c>
    </row>
    <row r="12" spans="1:18">
      <c r="F12" s="6"/>
      <c r="G12" s="6"/>
      <c r="H12" s="6"/>
      <c r="I12" s="6"/>
      <c r="J12" s="6"/>
      <c r="K12" s="14"/>
      <c r="L12" s="14"/>
      <c r="M12" s="14"/>
      <c r="N12" s="14"/>
      <c r="O12" s="14"/>
      <c r="P12" s="14"/>
    </row>
    <row r="13" spans="1:18">
      <c r="B13" s="7" t="s">
        <v>87</v>
      </c>
      <c r="F13" s="6">
        <v>-16742</v>
      </c>
      <c r="G13" s="6">
        <v>-1787</v>
      </c>
      <c r="H13" s="6">
        <v>-2259</v>
      </c>
      <c r="I13" s="6">
        <v>-2249</v>
      </c>
      <c r="J13" s="6">
        <v>-2318</v>
      </c>
      <c r="K13" s="14">
        <f>K427</f>
        <v>-2210.7674999999999</v>
      </c>
      <c r="L13" s="14">
        <f t="shared" ref="L13:P13" ca="1" si="7">L427</f>
        <v>-2253.13625</v>
      </c>
      <c r="M13" s="14">
        <f t="shared" ca="1" si="7"/>
        <v>-2294.5487499999999</v>
      </c>
      <c r="N13" s="14">
        <f t="shared" ca="1" si="7"/>
        <v>-2329.1237500000002</v>
      </c>
      <c r="O13" s="14">
        <f t="shared" ca="1" si="7"/>
        <v>-2358.7674999999999</v>
      </c>
      <c r="P13" s="14">
        <f t="shared" ca="1" si="7"/>
        <v>-2375.0174999999999</v>
      </c>
    </row>
    <row r="14" spans="1:18">
      <c r="B14" s="7" t="s">
        <v>86</v>
      </c>
      <c r="F14" s="6">
        <v>-320</v>
      </c>
      <c r="G14" s="6">
        <v>-341</v>
      </c>
      <c r="H14" s="6">
        <v>-424</v>
      </c>
      <c r="I14" s="6">
        <v>-479</v>
      </c>
      <c r="J14" s="6">
        <v>-481</v>
      </c>
      <c r="K14" s="14">
        <f>K428*-1*-1</f>
        <v>-473.27000000000004</v>
      </c>
      <c r="L14" s="14">
        <f t="shared" ref="L14:P14" si="8">L428*-1*-1</f>
        <v>-493.71385000000009</v>
      </c>
      <c r="M14" s="14">
        <f t="shared" si="8"/>
        <v>-516.64628316875007</v>
      </c>
      <c r="N14" s="14">
        <f t="shared" si="8"/>
        <v>-543.06442751048053</v>
      </c>
      <c r="O14" s="14">
        <f t="shared" si="8"/>
        <v>-574.46582047130653</v>
      </c>
      <c r="P14" s="14">
        <f t="shared" si="8"/>
        <v>0</v>
      </c>
    </row>
    <row r="15" spans="1:18">
      <c r="B15" s="7" t="s">
        <v>85</v>
      </c>
      <c r="F15" s="6">
        <v>158</v>
      </c>
      <c r="G15" s="6">
        <v>254</v>
      </c>
      <c r="H15" s="6">
        <v>546</v>
      </c>
      <c r="I15" s="6">
        <v>483</v>
      </c>
      <c r="J15" s="6">
        <v>368</v>
      </c>
      <c r="K15" s="14">
        <f t="shared" ref="K15:P15" ca="1" si="9">K429</f>
        <v>198.64008544998111</v>
      </c>
      <c r="L15" s="14">
        <f t="shared" ca="1" si="9"/>
        <v>226.92025809906127</v>
      </c>
      <c r="M15" s="14">
        <f t="shared" ca="1" si="9"/>
        <v>265.48972256806491</v>
      </c>
      <c r="N15" s="14">
        <f t="shared" ca="1" si="9"/>
        <v>305.70288981843504</v>
      </c>
      <c r="O15" s="14">
        <f t="shared" ca="1" si="9"/>
        <v>519.1673631671564</v>
      </c>
      <c r="P15" s="14">
        <f t="shared" ca="1" si="9"/>
        <v>519.1673631671564</v>
      </c>
    </row>
    <row r="16" spans="1:18">
      <c r="B16" s="5" t="s">
        <v>84</v>
      </c>
      <c r="F16" s="6">
        <v>-1836</v>
      </c>
      <c r="G16" s="6">
        <v>-1874</v>
      </c>
      <c r="H16" s="6">
        <v>-2137</v>
      </c>
      <c r="I16" s="6">
        <v>-2245</v>
      </c>
      <c r="J16" s="6">
        <v>-2431</v>
      </c>
      <c r="K16" s="14">
        <f ca="1">SUM(K13:K15)</f>
        <v>-2485.3974145500188</v>
      </c>
      <c r="L16" s="14">
        <f t="shared" ref="L16:P16" ca="1" si="10">SUM(L13:L15)</f>
        <v>-2519.9298419009388</v>
      </c>
      <c r="M16" s="14">
        <f t="shared" ca="1" si="10"/>
        <v>-2545.7053106006852</v>
      </c>
      <c r="N16" s="14">
        <f t="shared" ca="1" si="10"/>
        <v>-2566.4852876920459</v>
      </c>
      <c r="O16" s="14">
        <f t="shared" ca="1" si="10"/>
        <v>-2414.0659573041498</v>
      </c>
      <c r="P16" s="14">
        <f t="shared" ca="1" si="10"/>
        <v>-1855.8501368328434</v>
      </c>
    </row>
    <row r="17" spans="1:18">
      <c r="B17" s="7" t="s">
        <v>83</v>
      </c>
      <c r="F17" s="6">
        <v>-2410</v>
      </c>
      <c r="G17" s="6">
        <v>0</v>
      </c>
      <c r="H17" s="6">
        <v>0</v>
      </c>
      <c r="I17" s="6">
        <v>0</v>
      </c>
      <c r="J17" s="6">
        <v>0</v>
      </c>
      <c r="K17" s="14">
        <v>0</v>
      </c>
      <c r="L17" s="14">
        <v>0</v>
      </c>
      <c r="M17" s="14">
        <v>0</v>
      </c>
      <c r="N17" s="14">
        <v>0</v>
      </c>
      <c r="O17" s="14">
        <v>0</v>
      </c>
      <c r="P17" s="14">
        <v>0</v>
      </c>
    </row>
    <row r="18" spans="1:18">
      <c r="B18" s="7"/>
      <c r="F18" s="6"/>
      <c r="G18" s="6"/>
      <c r="H18" s="6"/>
      <c r="I18" s="6"/>
      <c r="J18" s="6"/>
      <c r="K18" s="14"/>
      <c r="L18" s="14"/>
      <c r="M18" s="14"/>
      <c r="N18" s="14"/>
      <c r="O18" s="14"/>
      <c r="P18" s="14"/>
    </row>
    <row r="19" spans="1:18">
      <c r="B19" s="5" t="s">
        <v>82</v>
      </c>
      <c r="F19" s="6">
        <v>-3000</v>
      </c>
      <c r="G19" s="6">
        <v>-1538</v>
      </c>
      <c r="H19" s="6">
        <v>-3027</v>
      </c>
      <c r="I19" s="6">
        <v>-794</v>
      </c>
      <c r="J19" s="6">
        <v>2075</v>
      </c>
      <c r="K19" s="14">
        <f>K548</f>
        <v>0</v>
      </c>
      <c r="L19" s="14">
        <f t="shared" ref="L19:P19" si="11">L548</f>
        <v>0</v>
      </c>
      <c r="M19" s="14">
        <f t="shared" si="11"/>
        <v>0</v>
      </c>
      <c r="N19" s="14">
        <f t="shared" si="11"/>
        <v>0</v>
      </c>
      <c r="O19" s="14">
        <f t="shared" si="11"/>
        <v>0</v>
      </c>
      <c r="P19" s="14">
        <f t="shared" si="11"/>
        <v>0</v>
      </c>
      <c r="R19" s="180" t="s">
        <v>421</v>
      </c>
    </row>
    <row r="20" spans="1:18">
      <c r="B20" s="5" t="s">
        <v>81</v>
      </c>
      <c r="F20" s="183">
        <v>18696</v>
      </c>
      <c r="G20" s="183">
        <v>17016</v>
      </c>
      <c r="H20" s="183">
        <v>21848</v>
      </c>
      <c r="I20" s="183">
        <v>26309</v>
      </c>
      <c r="J20" s="183">
        <v>29469</v>
      </c>
      <c r="K20" s="13">
        <f ca="1">K11+K16+K17+K19</f>
        <v>31258.400572950042</v>
      </c>
      <c r="L20" s="13">
        <f t="shared" ref="L20:P20" ca="1" si="12">L11+L16+L17+L19</f>
        <v>33839.433858674085</v>
      </c>
      <c r="M20" s="13">
        <f t="shared" ca="1" si="12"/>
        <v>36618.186931442156</v>
      </c>
      <c r="N20" s="13">
        <f t="shared" ca="1" si="12"/>
        <v>39704.229412036977</v>
      </c>
      <c r="O20" s="13">
        <f t="shared" ca="1" si="12"/>
        <v>43303.440302929142</v>
      </c>
      <c r="P20" s="13">
        <f t="shared" ca="1" si="12"/>
        <v>47691.363195463622</v>
      </c>
    </row>
    <row r="21" spans="1:18">
      <c r="F21" s="6"/>
      <c r="G21" s="6"/>
      <c r="H21" s="6"/>
      <c r="I21" s="6"/>
      <c r="J21" s="6"/>
      <c r="K21" s="14"/>
      <c r="L21" s="14"/>
      <c r="M21" s="14"/>
      <c r="N21" s="14"/>
      <c r="O21" s="14"/>
      <c r="P21" s="14"/>
    </row>
    <row r="22" spans="1:18">
      <c r="B22" s="7" t="s">
        <v>80</v>
      </c>
      <c r="F22" s="6">
        <v>-4756</v>
      </c>
      <c r="G22" s="6">
        <v>-5724</v>
      </c>
      <c r="H22" s="6">
        <v>-5578</v>
      </c>
      <c r="I22" s="6">
        <v>-6152</v>
      </c>
      <c r="J22" s="6">
        <v>-7199</v>
      </c>
      <c r="K22" s="14">
        <f ca="1">K322*-1</f>
        <v>-7658.3081403727601</v>
      </c>
      <c r="L22" s="14">
        <f t="shared" ref="L22:O22" ca="1" si="13">L322*-1</f>
        <v>-8290.6612953751501</v>
      </c>
      <c r="M22" s="14">
        <f t="shared" ca="1" si="13"/>
        <v>-8971.4557982033275</v>
      </c>
      <c r="N22" s="14">
        <f t="shared" ca="1" si="13"/>
        <v>-9727.5362059490599</v>
      </c>
      <c r="O22" s="14">
        <f t="shared" ca="1" si="13"/>
        <v>-10609.34287421764</v>
      </c>
      <c r="P22" s="14">
        <f ca="1">P20*'Drivers, Inputs and Outputs'!G20*-1</f>
        <v>-11684.383982888587</v>
      </c>
    </row>
    <row r="23" spans="1:18">
      <c r="B23" s="5" t="s">
        <v>79</v>
      </c>
      <c r="F23" s="183">
        <v>13940</v>
      </c>
      <c r="G23" s="183">
        <v>11292</v>
      </c>
      <c r="H23" s="183">
        <v>16270</v>
      </c>
      <c r="I23" s="183">
        <v>20157</v>
      </c>
      <c r="J23" s="183">
        <v>22270</v>
      </c>
      <c r="K23" s="13">
        <f ca="1">K20+K22</f>
        <v>23600.092432577283</v>
      </c>
      <c r="L23" s="13">
        <f t="shared" ref="L23:P23" ca="1" si="14">L20+L22</f>
        <v>25548.772563298935</v>
      </c>
      <c r="M23" s="13">
        <f t="shared" ca="1" si="14"/>
        <v>27646.731133238827</v>
      </c>
      <c r="N23" s="13">
        <f t="shared" ca="1" si="14"/>
        <v>29976.693206087919</v>
      </c>
      <c r="O23" s="13">
        <f t="shared" ca="1" si="14"/>
        <v>32694.097428711502</v>
      </c>
      <c r="P23" s="13">
        <f t="shared" ca="1" si="14"/>
        <v>36006.979212575039</v>
      </c>
    </row>
    <row r="24" spans="1:18">
      <c r="F24" s="6"/>
      <c r="G24" s="6"/>
      <c r="H24" s="6"/>
      <c r="I24" s="6"/>
      <c r="J24" s="6"/>
      <c r="K24" s="14"/>
      <c r="L24" s="14"/>
      <c r="M24" s="14"/>
      <c r="N24" s="14"/>
      <c r="O24" s="14"/>
      <c r="P24" s="14"/>
    </row>
    <row r="25" spans="1:18">
      <c r="B25" s="7" t="s">
        <v>78</v>
      </c>
      <c r="F25" s="6">
        <v>-267</v>
      </c>
      <c r="G25" s="6">
        <v>388</v>
      </c>
      <c r="H25" s="6">
        <v>-759</v>
      </c>
      <c r="I25" s="6">
        <v>-721</v>
      </c>
      <c r="J25" s="6">
        <v>-377</v>
      </c>
      <c r="K25" s="14">
        <f>K550</f>
        <v>-347.2</v>
      </c>
      <c r="L25" s="14">
        <f t="shared" ref="L25:P25" si="15">L550</f>
        <v>-363.24</v>
      </c>
      <c r="M25" s="14">
        <f t="shared" si="15"/>
        <v>-513.48799999999994</v>
      </c>
      <c r="N25" s="14">
        <f t="shared" si="15"/>
        <v>-464.38559999999995</v>
      </c>
      <c r="O25" s="14">
        <f t="shared" si="15"/>
        <v>-413.06272000000001</v>
      </c>
      <c r="P25" s="14">
        <f t="shared" si="15"/>
        <v>0</v>
      </c>
    </row>
    <row r="26" spans="1:18">
      <c r="B26" s="5" t="s">
        <v>77</v>
      </c>
      <c r="F26" s="231">
        <v>13673</v>
      </c>
      <c r="G26" s="231">
        <v>11680</v>
      </c>
      <c r="H26" s="231">
        <v>15511</v>
      </c>
      <c r="I26" s="231">
        <v>19436</v>
      </c>
      <c r="J26" s="231">
        <v>21893</v>
      </c>
      <c r="K26" s="227">
        <f ca="1">K23+K25</f>
        <v>23252.892432577282</v>
      </c>
      <c r="L26" s="227">
        <f t="shared" ref="L26:P26" ca="1" si="16">L23+L25</f>
        <v>25185.532563298933</v>
      </c>
      <c r="M26" s="227">
        <f t="shared" ca="1" si="16"/>
        <v>27133.243133238826</v>
      </c>
      <c r="N26" s="227">
        <f t="shared" ca="1" si="16"/>
        <v>29512.307606087918</v>
      </c>
      <c r="O26" s="227">
        <f t="shared" ca="1" si="16"/>
        <v>32281.034708711501</v>
      </c>
      <c r="P26" s="227">
        <f t="shared" ca="1" si="16"/>
        <v>36006.979212575039</v>
      </c>
    </row>
    <row r="29" spans="1:18">
      <c r="A29" t="s">
        <v>95</v>
      </c>
      <c r="B29" s="356" t="s">
        <v>76</v>
      </c>
      <c r="C29" s="357"/>
      <c r="D29" s="357"/>
      <c r="E29" s="357"/>
      <c r="F29" s="357"/>
      <c r="G29" s="357"/>
      <c r="H29" s="357"/>
      <c r="I29" s="357"/>
      <c r="J29" s="357"/>
      <c r="K29" s="357"/>
      <c r="L29" s="357"/>
      <c r="M29" s="357"/>
      <c r="N29" s="357"/>
      <c r="O29" s="357"/>
    </row>
    <row r="30" spans="1:18">
      <c r="B30" s="4" t="s">
        <v>1</v>
      </c>
    </row>
    <row r="31" spans="1:18">
      <c r="B31" s="4"/>
      <c r="F31" s="3">
        <f t="shared" ref="F31:O31" si="17">F3</f>
        <v>44592</v>
      </c>
      <c r="G31" s="3">
        <f t="shared" si="17"/>
        <v>44957</v>
      </c>
      <c r="H31" s="3">
        <f t="shared" si="17"/>
        <v>45322</v>
      </c>
      <c r="I31" s="3">
        <f t="shared" si="17"/>
        <v>45688</v>
      </c>
      <c r="J31" s="3">
        <f t="shared" si="17"/>
        <v>46053</v>
      </c>
      <c r="K31" s="2">
        <f t="shared" si="17"/>
        <v>46418</v>
      </c>
      <c r="L31" s="2">
        <f t="shared" si="17"/>
        <v>46783</v>
      </c>
      <c r="M31" s="2">
        <f t="shared" si="17"/>
        <v>47149</v>
      </c>
      <c r="N31" s="2">
        <f t="shared" si="17"/>
        <v>47514</v>
      </c>
      <c r="O31" s="2">
        <f t="shared" si="17"/>
        <v>47879</v>
      </c>
    </row>
    <row r="32" spans="1:18">
      <c r="B32" s="12"/>
    </row>
    <row r="33" spans="2:15">
      <c r="B33" t="s">
        <v>75</v>
      </c>
      <c r="F33" s="6">
        <v>13940</v>
      </c>
      <c r="G33" s="6">
        <v>11292</v>
      </c>
      <c r="H33" s="6">
        <v>16270</v>
      </c>
      <c r="I33" s="6">
        <v>20157</v>
      </c>
      <c r="J33" s="6">
        <v>22270</v>
      </c>
      <c r="K33" s="14">
        <f ca="1">K26</f>
        <v>23252.892432577282</v>
      </c>
      <c r="L33" s="14">
        <f t="shared" ref="L33:O33" ca="1" si="18">L26</f>
        <v>25185.532563298933</v>
      </c>
      <c r="M33" s="14">
        <f t="shared" ca="1" si="18"/>
        <v>27133.243133238826</v>
      </c>
      <c r="N33" s="14">
        <f t="shared" ca="1" si="18"/>
        <v>29512.307606087918</v>
      </c>
      <c r="O33" s="14">
        <f t="shared" ca="1" si="18"/>
        <v>32281.034708711501</v>
      </c>
    </row>
    <row r="34" spans="2:15">
      <c r="B34" s="7" t="s">
        <v>74</v>
      </c>
      <c r="F34" s="6">
        <v>10658</v>
      </c>
      <c r="G34" s="6">
        <v>10945</v>
      </c>
      <c r="H34" s="6">
        <v>11853</v>
      </c>
      <c r="I34" s="6">
        <v>12973</v>
      </c>
      <c r="J34" s="6">
        <v>14203</v>
      </c>
      <c r="K34" s="14">
        <f>K245</f>
        <v>15634.25965234375</v>
      </c>
      <c r="L34" s="14">
        <f ca="1">L245</f>
        <v>18123.287554708331</v>
      </c>
      <c r="M34" s="14">
        <f ca="1">M245</f>
        <v>20829.446309766146</v>
      </c>
      <c r="N34" s="14">
        <f ca="1">N245</f>
        <v>23777.703285930282</v>
      </c>
      <c r="O34" s="14">
        <f ca="1">O245</f>
        <v>26989.375553026759</v>
      </c>
    </row>
    <row r="35" spans="2:15">
      <c r="B35" s="7" t="s">
        <v>73</v>
      </c>
      <c r="F35" s="6">
        <v>-2440</v>
      </c>
      <c r="G35" s="6">
        <v>-1683</v>
      </c>
      <c r="H35" s="6">
        <v>-3193</v>
      </c>
      <c r="I35" s="6">
        <v>-878</v>
      </c>
      <c r="J35" s="6">
        <v>2016</v>
      </c>
      <c r="K35" s="14">
        <v>0</v>
      </c>
      <c r="L35" s="14">
        <v>0</v>
      </c>
      <c r="M35" s="14">
        <v>0</v>
      </c>
      <c r="N35" s="14">
        <v>0</v>
      </c>
      <c r="O35" s="14">
        <v>0</v>
      </c>
    </row>
    <row r="36" spans="2:15">
      <c r="B36" s="7" t="s">
        <v>72</v>
      </c>
      <c r="F36" s="6">
        <v>433</v>
      </c>
      <c r="G36" s="6">
        <v>0</v>
      </c>
      <c r="H36" s="6">
        <v>0</v>
      </c>
      <c r="I36" s="6">
        <v>0</v>
      </c>
      <c r="J36" s="6">
        <v>0</v>
      </c>
      <c r="K36" s="14">
        <v>0</v>
      </c>
      <c r="L36" s="14">
        <v>0</v>
      </c>
      <c r="M36" s="14">
        <v>0</v>
      </c>
      <c r="N36" s="14">
        <v>0</v>
      </c>
      <c r="O36" s="14">
        <v>0</v>
      </c>
    </row>
    <row r="37" spans="2:15">
      <c r="B37" s="7" t="s">
        <v>71</v>
      </c>
      <c r="F37" s="6">
        <v>-755</v>
      </c>
      <c r="G37" s="6">
        <v>449</v>
      </c>
      <c r="H37" s="6">
        <v>-175</v>
      </c>
      <c r="I37" s="6">
        <v>-635</v>
      </c>
      <c r="J37" s="6">
        <v>2277</v>
      </c>
      <c r="K37" s="14">
        <f ca="1">K321</f>
        <v>2095.5284980804699</v>
      </c>
      <c r="L37" s="14">
        <f ca="1">L321</f>
        <v>1738.3776493803462</v>
      </c>
      <c r="M37" s="14">
        <f ca="1">M321</f>
        <v>1418.2745965235499</v>
      </c>
      <c r="N37" s="14">
        <f ca="1">N321</f>
        <v>1095.1217104462921</v>
      </c>
      <c r="O37" s="14">
        <f ca="1">O321</f>
        <v>796.23427805838037</v>
      </c>
    </row>
    <row r="38" spans="2:15">
      <c r="B38" s="7" t="s">
        <v>70</v>
      </c>
      <c r="F38" s="6">
        <v>2410</v>
      </c>
      <c r="G38" s="6">
        <v>0</v>
      </c>
      <c r="H38" s="6">
        <v>0</v>
      </c>
      <c r="I38" s="6">
        <v>0</v>
      </c>
      <c r="J38" s="6">
        <v>0</v>
      </c>
      <c r="K38" s="14">
        <v>0</v>
      </c>
      <c r="L38" s="14">
        <v>0</v>
      </c>
      <c r="M38" s="14">
        <v>0</v>
      </c>
      <c r="N38" s="14">
        <v>0</v>
      </c>
      <c r="O38" s="14">
        <v>0</v>
      </c>
    </row>
    <row r="39" spans="2:15">
      <c r="B39" s="7" t="s">
        <v>69</v>
      </c>
      <c r="F39" s="6">
        <v>1652</v>
      </c>
      <c r="G39" s="6">
        <v>1919</v>
      </c>
      <c r="H39" s="6">
        <v>2642</v>
      </c>
      <c r="I39" s="6">
        <v>2889</v>
      </c>
      <c r="J39" s="6">
        <v>4079</v>
      </c>
      <c r="K39" s="14">
        <f>K594</f>
        <v>4424.18684725</v>
      </c>
      <c r="L39" s="14">
        <f t="shared" ref="L39:O39" si="19">L594</f>
        <v>5058.6940800799994</v>
      </c>
      <c r="M39" s="14">
        <f t="shared" si="19"/>
        <v>5749.5926908530946</v>
      </c>
      <c r="N39" s="14">
        <f t="shared" si="19"/>
        <v>6516.7351828748951</v>
      </c>
      <c r="O39" s="14">
        <f t="shared" si="19"/>
        <v>7370.7816215478251</v>
      </c>
    </row>
    <row r="40" spans="2:15">
      <c r="B40" s="7" t="s">
        <v>68</v>
      </c>
      <c r="F40" s="6">
        <v>-1796</v>
      </c>
      <c r="G40" s="6">
        <v>240</v>
      </c>
      <c r="H40" s="6">
        <v>-797</v>
      </c>
      <c r="I40" s="6">
        <v>-1106</v>
      </c>
      <c r="J40" s="6">
        <v>-1136</v>
      </c>
      <c r="K40" s="14">
        <f>K206</f>
        <v>-332.73477808219104</v>
      </c>
      <c r="L40" s="14">
        <f t="shared" ref="L40:O40" si="20">L206</f>
        <v>-405.71789333904053</v>
      </c>
      <c r="M40" s="14">
        <f t="shared" si="20"/>
        <v>-417.44112671524454</v>
      </c>
      <c r="N40" s="14">
        <f t="shared" si="20"/>
        <v>-459.47994093680973</v>
      </c>
      <c r="O40" s="14">
        <f t="shared" si="20"/>
        <v>-504.82824880557382</v>
      </c>
    </row>
    <row r="41" spans="2:15">
      <c r="B41" s="7" t="s">
        <v>67</v>
      </c>
      <c r="F41" s="6">
        <v>-11764</v>
      </c>
      <c r="G41" s="6">
        <v>-528</v>
      </c>
      <c r="H41" s="6">
        <v>2017</v>
      </c>
      <c r="I41" s="6">
        <v>-2755</v>
      </c>
      <c r="J41" s="6">
        <v>-1443</v>
      </c>
      <c r="K41" s="14">
        <f t="shared" ref="K41:O42" si="21">K207</f>
        <v>-2781.5077397260175</v>
      </c>
      <c r="L41" s="14">
        <f t="shared" si="21"/>
        <v>-2478.7520694727864</v>
      </c>
      <c r="M41" s="14">
        <f t="shared" si="21"/>
        <v>-2575.7968088316702</v>
      </c>
      <c r="N41" s="14">
        <f t="shared" si="21"/>
        <v>-2840.6690201411548</v>
      </c>
      <c r="O41" s="14">
        <f t="shared" si="21"/>
        <v>-3129.4953817261994</v>
      </c>
    </row>
    <row r="42" spans="2:15">
      <c r="B42" s="7" t="s">
        <v>66</v>
      </c>
      <c r="F42" s="6">
        <v>5520</v>
      </c>
      <c r="G42" s="6">
        <v>-1425</v>
      </c>
      <c r="H42" s="6">
        <v>2515</v>
      </c>
      <c r="I42" s="6">
        <v>3228</v>
      </c>
      <c r="J42" s="6">
        <v>1611</v>
      </c>
      <c r="K42" s="14">
        <f t="shared" si="21"/>
        <v>2038.3363000856043</v>
      </c>
      <c r="L42" s="14">
        <f t="shared" si="21"/>
        <v>3881.1331148751342</v>
      </c>
      <c r="M42" s="14">
        <f t="shared" si="21"/>
        <v>3691.3230534058093</v>
      </c>
      <c r="N42" s="14">
        <f t="shared" si="21"/>
        <v>4531.071714278587</v>
      </c>
      <c r="O42" s="14">
        <f t="shared" si="21"/>
        <v>5014.5174977655552</v>
      </c>
    </row>
    <row r="43" spans="2:15">
      <c r="B43" s="7" t="s">
        <v>65</v>
      </c>
      <c r="F43" s="6"/>
      <c r="G43" s="6">
        <f t="shared" ref="G43:J43" si="22">F84-G84</f>
        <v>-1002</v>
      </c>
      <c r="H43" s="6">
        <f t="shared" si="22"/>
        <v>-801</v>
      </c>
      <c r="I43" s="6">
        <f t="shared" si="22"/>
        <v>-689</v>
      </c>
      <c r="J43" s="6">
        <f t="shared" si="22"/>
        <v>-113</v>
      </c>
      <c r="K43" s="14">
        <f>J84-K84</f>
        <v>-241.63596489726024</v>
      </c>
      <c r="L43" s="14">
        <f t="shared" ref="L43:O43" si="23">K84-L84</f>
        <v>-506.82194613869797</v>
      </c>
      <c r="M43" s="14">
        <f t="shared" si="23"/>
        <v>-435.38525205057977</v>
      </c>
      <c r="N43" s="14">
        <f t="shared" si="23"/>
        <v>-603.3013012020574</v>
      </c>
      <c r="O43" s="14">
        <f t="shared" si="23"/>
        <v>-926.67098139908558</v>
      </c>
    </row>
    <row r="44" spans="2:15">
      <c r="B44" s="7" t="s">
        <v>64</v>
      </c>
      <c r="F44" s="6"/>
      <c r="G44" s="6">
        <f t="shared" ref="G44:J44" si="24">F91-G91</f>
        <v>2018</v>
      </c>
      <c r="H44" s="6">
        <f t="shared" si="24"/>
        <v>3063</v>
      </c>
      <c r="I44" s="6">
        <f t="shared" si="24"/>
        <v>4202</v>
      </c>
      <c r="J44" s="6">
        <f t="shared" si="24"/>
        <v>-1234</v>
      </c>
      <c r="K44" s="14">
        <f>J91-K91</f>
        <v>-1269.1746387500007</v>
      </c>
      <c r="L44" s="14">
        <f t="shared" ref="L44:O44" si="25">K91-L91</f>
        <v>-1226.6653115124991</v>
      </c>
      <c r="M44" s="14">
        <f t="shared" si="25"/>
        <v>-1316.5575647145342</v>
      </c>
      <c r="N44" s="14">
        <f t="shared" si="25"/>
        <v>-1458.6800557321112</v>
      </c>
      <c r="O44" s="14">
        <f t="shared" si="25"/>
        <v>-1618.6548957245323</v>
      </c>
    </row>
    <row r="45" spans="2:15">
      <c r="B45" s="7" t="s">
        <v>63</v>
      </c>
      <c r="F45" s="6">
        <v>1404</v>
      </c>
      <c r="G45" s="6">
        <v>4393</v>
      </c>
      <c r="H45" s="6">
        <v>-1324</v>
      </c>
      <c r="I45" s="6">
        <v>379</v>
      </c>
      <c r="J45" s="6">
        <v>1607</v>
      </c>
      <c r="K45" s="14">
        <f>K97-J97</f>
        <v>1409.058010035631</v>
      </c>
      <c r="L45" s="14">
        <f t="shared" ref="L45:O45" si="26">L97-K97</f>
        <v>1568.4782864021763</v>
      </c>
      <c r="M45" s="14">
        <f t="shared" si="26"/>
        <v>1648.2687193447491</v>
      </c>
      <c r="N45" s="14">
        <f t="shared" si="26"/>
        <v>1821.3154141744017</v>
      </c>
      <c r="O45" s="14">
        <f t="shared" si="26"/>
        <v>2012.1869572296055</v>
      </c>
    </row>
    <row r="46" spans="2:15">
      <c r="B46" s="7" t="s">
        <v>62</v>
      </c>
      <c r="F46" s="6">
        <v>39</v>
      </c>
      <c r="G46" s="6">
        <v>-127</v>
      </c>
      <c r="H46" s="6">
        <v>-468</v>
      </c>
      <c r="I46" s="6">
        <v>435</v>
      </c>
      <c r="J46" s="6">
        <v>113</v>
      </c>
      <c r="K46" s="14">
        <f ca="1">K98-J98</f>
        <v>93.247732633548367</v>
      </c>
      <c r="L46" s="14">
        <f t="shared" ref="L46:O46" ca="1" si="27">L98-K98</f>
        <v>56.911783950215067</v>
      </c>
      <c r="M46" s="14">
        <f t="shared" ca="1" si="27"/>
        <v>83.700144750044387</v>
      </c>
      <c r="N46" s="14">
        <f t="shared" ca="1" si="27"/>
        <v>69.93743771648019</v>
      </c>
      <c r="O46" s="14">
        <f t="shared" ca="1" si="27"/>
        <v>108.09047400038787</v>
      </c>
    </row>
    <row r="47" spans="2:15">
      <c r="B47" s="5" t="s">
        <v>61</v>
      </c>
      <c r="C47" s="5"/>
      <c r="F47" s="183">
        <v>24181</v>
      </c>
      <c r="G47" s="183">
        <v>28841</v>
      </c>
      <c r="H47" s="183">
        <v>35726</v>
      </c>
      <c r="I47" s="183">
        <v>36443</v>
      </c>
      <c r="J47" s="183">
        <v>41565</v>
      </c>
      <c r="K47" s="13">
        <f ca="1">SUM(K33:K46)</f>
        <v>44322.45635155082</v>
      </c>
      <c r="L47" s="13">
        <f ca="1">SUM(L33:L46)</f>
        <v>50994.457812232111</v>
      </c>
      <c r="M47" s="13">
        <f ca="1">SUM(M33:M46)</f>
        <v>55808.667895570186</v>
      </c>
      <c r="N47" s="13">
        <f ca="1">SUM(N33:N46)</f>
        <v>61962.062033496717</v>
      </c>
      <c r="O47" s="13">
        <f ca="1">SUM(O33:O46)</f>
        <v>68392.571582684628</v>
      </c>
    </row>
    <row r="48" spans="2:15">
      <c r="F48" s="6"/>
      <c r="G48" s="6"/>
      <c r="H48" s="6"/>
      <c r="I48" s="6"/>
      <c r="J48" s="6"/>
      <c r="K48" s="14"/>
      <c r="L48" s="14"/>
      <c r="M48" s="14"/>
      <c r="N48" s="14"/>
      <c r="O48" s="14"/>
    </row>
    <row r="49" spans="2:15">
      <c r="B49" s="7" t="s">
        <v>60</v>
      </c>
      <c r="F49" s="6">
        <v>-13106</v>
      </c>
      <c r="G49" s="6">
        <v>-16857</v>
      </c>
      <c r="H49" s="6">
        <v>-20606</v>
      </c>
      <c r="I49" s="6">
        <v>-23783</v>
      </c>
      <c r="J49" s="6">
        <v>-26642</v>
      </c>
      <c r="K49" s="14">
        <f>K257*-1</f>
        <v>-28119.83165625</v>
      </c>
      <c r="L49" s="14">
        <f t="shared" ref="L49:O49" si="28">L257*-1</f>
        <v>-31616.838000499996</v>
      </c>
      <c r="M49" s="14">
        <f t="shared" si="28"/>
        <v>-33330.972120887505</v>
      </c>
      <c r="N49" s="14">
        <f t="shared" si="28"/>
        <v>-37427.195307051763</v>
      </c>
      <c r="O49" s="14">
        <f t="shared" si="28"/>
        <v>-39652.939103263612</v>
      </c>
    </row>
    <row r="50" spans="2:15">
      <c r="B50" s="7" t="s">
        <v>59</v>
      </c>
      <c r="F50" s="6">
        <v>394</v>
      </c>
      <c r="G50" s="6">
        <v>170</v>
      </c>
      <c r="H50" s="6">
        <v>250</v>
      </c>
      <c r="I50" s="6">
        <v>432</v>
      </c>
      <c r="J50" s="6">
        <v>106</v>
      </c>
      <c r="K50" s="14">
        <f>K576</f>
        <v>309.31814821874997</v>
      </c>
      <c r="L50" s="14">
        <f t="shared" ref="L50:O50" si="29">L576</f>
        <v>363.59363700574994</v>
      </c>
      <c r="M50" s="14">
        <f t="shared" si="29"/>
        <v>399.97166545065005</v>
      </c>
      <c r="N50" s="14">
        <f t="shared" si="29"/>
        <v>467.83994133814707</v>
      </c>
      <c r="O50" s="14">
        <f t="shared" si="29"/>
        <v>515.4882083424269</v>
      </c>
    </row>
    <row r="51" spans="2:15">
      <c r="B51" s="7" t="s">
        <v>58</v>
      </c>
      <c r="F51" s="6">
        <v>7935</v>
      </c>
      <c r="G51" s="6">
        <v>0</v>
      </c>
      <c r="H51" s="6">
        <v>135</v>
      </c>
      <c r="I51" s="6">
        <v>4080</v>
      </c>
      <c r="J51" s="6">
        <v>927</v>
      </c>
      <c r="K51" s="14">
        <f t="shared" ref="K51:O51" si="30">K577</f>
        <v>0</v>
      </c>
      <c r="L51" s="14">
        <f t="shared" si="30"/>
        <v>0</v>
      </c>
      <c r="M51" s="14">
        <f t="shared" si="30"/>
        <v>0</v>
      </c>
      <c r="N51" s="14">
        <f t="shared" si="30"/>
        <v>0</v>
      </c>
      <c r="O51" s="14">
        <f t="shared" si="30"/>
        <v>0</v>
      </c>
    </row>
    <row r="52" spans="2:15">
      <c r="B52" s="7" t="s">
        <v>57</v>
      </c>
      <c r="F52" s="6">
        <v>-359</v>
      </c>
      <c r="G52" s="6">
        <v>-740</v>
      </c>
      <c r="H52" s="6">
        <v>-9</v>
      </c>
      <c r="I52" s="6">
        <v>-1896</v>
      </c>
      <c r="J52" s="6">
        <v>-53</v>
      </c>
      <c r="K52" s="14">
        <f t="shared" ref="K52:O52" si="31">K578</f>
        <v>0</v>
      </c>
      <c r="L52" s="14">
        <f t="shared" si="31"/>
        <v>0</v>
      </c>
      <c r="M52" s="14">
        <f t="shared" si="31"/>
        <v>0</v>
      </c>
      <c r="N52" s="14">
        <f t="shared" si="31"/>
        <v>0</v>
      </c>
      <c r="O52" s="14">
        <f t="shared" si="31"/>
        <v>0</v>
      </c>
    </row>
    <row r="53" spans="2:15">
      <c r="B53" s="7" t="s">
        <v>56</v>
      </c>
      <c r="F53" s="6">
        <v>-879</v>
      </c>
      <c r="G53" s="6">
        <v>-295</v>
      </c>
      <c r="H53" s="6">
        <v>-1057</v>
      </c>
      <c r="I53" s="6">
        <v>-212</v>
      </c>
      <c r="J53" s="6">
        <v>-688</v>
      </c>
      <c r="K53" s="14">
        <f>K600</f>
        <v>-751.89280427666995</v>
      </c>
      <c r="L53" s="14">
        <f t="shared" ref="L53:O53" si="32">L600</f>
        <v>-616.22284331257015</v>
      </c>
      <c r="M53" s="14">
        <f t="shared" si="32"/>
        <v>-843.89938366002366</v>
      </c>
      <c r="N53" s="14">
        <f t="shared" si="32"/>
        <v>-1231.6114321298148</v>
      </c>
      <c r="O53" s="14">
        <f t="shared" si="32"/>
        <v>-1474.6176979186605</v>
      </c>
    </row>
    <row r="54" spans="2:15">
      <c r="B54" s="5" t="s">
        <v>55</v>
      </c>
      <c r="C54" s="5"/>
      <c r="F54" s="183">
        <v>-6015</v>
      </c>
      <c r="G54" s="183">
        <v>-17722</v>
      </c>
      <c r="H54" s="183">
        <v>-21287</v>
      </c>
      <c r="I54" s="183">
        <v>-21379</v>
      </c>
      <c r="J54" s="183">
        <v>-26350</v>
      </c>
      <c r="K54" s="13">
        <f>SUM(K49:K53)</f>
        <v>-28562.406312307921</v>
      </c>
      <c r="L54" s="13">
        <f t="shared" ref="L54:O54" si="33">SUM(L49:L53)</f>
        <v>-31869.467206806818</v>
      </c>
      <c r="M54" s="13">
        <f t="shared" si="33"/>
        <v>-33774.899839096877</v>
      </c>
      <c r="N54" s="13">
        <f t="shared" si="33"/>
        <v>-38190.96679784343</v>
      </c>
      <c r="O54" s="13">
        <f t="shared" si="33"/>
        <v>-40612.068592839852</v>
      </c>
    </row>
    <row r="55" spans="2:15">
      <c r="F55" s="6"/>
      <c r="G55" s="6"/>
      <c r="H55" s="6"/>
      <c r="I55" s="6"/>
      <c r="J55" s="6"/>
      <c r="K55" s="14"/>
      <c r="L55" s="14"/>
      <c r="M55" s="14"/>
      <c r="N55" s="14"/>
      <c r="O55" s="14"/>
    </row>
    <row r="56" spans="2:15">
      <c r="B56" s="7" t="s">
        <v>54</v>
      </c>
      <c r="F56" s="6">
        <v>193</v>
      </c>
      <c r="G56" s="6">
        <v>-34</v>
      </c>
      <c r="H56" s="6">
        <v>512</v>
      </c>
      <c r="I56" s="6">
        <v>2212</v>
      </c>
      <c r="J56" s="6">
        <v>3523</v>
      </c>
      <c r="K56" s="14">
        <f>K395</f>
        <v>0</v>
      </c>
      <c r="L56" s="14">
        <f t="shared" ref="L56:O56" si="34">L395</f>
        <v>0</v>
      </c>
      <c r="M56" s="14">
        <f t="shared" si="34"/>
        <v>0</v>
      </c>
      <c r="N56" s="14">
        <f t="shared" si="34"/>
        <v>0</v>
      </c>
      <c r="O56" s="14">
        <f t="shared" si="34"/>
        <v>0</v>
      </c>
    </row>
    <row r="57" spans="2:15">
      <c r="B57" s="7" t="s">
        <v>53</v>
      </c>
      <c r="F57" s="6">
        <v>6945</v>
      </c>
      <c r="G57" s="6">
        <v>5041</v>
      </c>
      <c r="H57" s="6">
        <v>4967</v>
      </c>
      <c r="I57" s="6">
        <v>0</v>
      </c>
      <c r="J57" s="6">
        <v>3983</v>
      </c>
      <c r="K57" s="14">
        <f>K569</f>
        <v>4427.5</v>
      </c>
      <c r="L57" s="14">
        <f t="shared" ref="L57:O57" si="35">L569</f>
        <v>4046.25</v>
      </c>
      <c r="M57" s="14">
        <f t="shared" si="35"/>
        <v>4236.25</v>
      </c>
      <c r="N57" s="14">
        <f t="shared" si="35"/>
        <v>2678.75</v>
      </c>
      <c r="O57" s="14">
        <f t="shared" si="35"/>
        <v>3250</v>
      </c>
    </row>
    <row r="58" spans="2:15">
      <c r="B58" s="7" t="s">
        <v>52</v>
      </c>
      <c r="F58" s="6">
        <v>-13010</v>
      </c>
      <c r="G58" s="6">
        <v>-2689</v>
      </c>
      <c r="H58" s="6">
        <v>-4217</v>
      </c>
      <c r="I58" s="6">
        <v>-3468</v>
      </c>
      <c r="J58" s="6">
        <v>-2625</v>
      </c>
      <c r="K58" s="14">
        <f>Notes!B73*-1</f>
        <v>-3542</v>
      </c>
      <c r="L58" s="14">
        <f>Notes!B74*-1</f>
        <v>-3237</v>
      </c>
      <c r="M58" s="14">
        <f>Notes!B75*-1</f>
        <v>-3389</v>
      </c>
      <c r="N58" s="14">
        <f>Notes!B76*-1</f>
        <v>-2143</v>
      </c>
      <c r="O58" s="14">
        <f>Notes!B77*-1</f>
        <v>-2600</v>
      </c>
    </row>
    <row r="59" spans="2:15">
      <c r="B59" s="7" t="s">
        <v>51</v>
      </c>
      <c r="F59" s="6">
        <v>-2317</v>
      </c>
      <c r="G59" s="6">
        <v>0</v>
      </c>
      <c r="H59" s="6">
        <v>0</v>
      </c>
      <c r="I59" s="6">
        <v>0</v>
      </c>
      <c r="J59" s="6">
        <v>0</v>
      </c>
      <c r="K59" s="14">
        <v>0</v>
      </c>
      <c r="L59" s="14">
        <v>0</v>
      </c>
      <c r="M59" s="14">
        <v>0</v>
      </c>
      <c r="N59" s="14">
        <v>0</v>
      </c>
      <c r="O59" s="14">
        <v>0</v>
      </c>
    </row>
    <row r="60" spans="2:15">
      <c r="B60" s="7" t="s">
        <v>50</v>
      </c>
      <c r="F60" s="6">
        <v>-6152</v>
      </c>
      <c r="G60" s="6">
        <v>-6114</v>
      </c>
      <c r="H60" s="6">
        <v>-6140</v>
      </c>
      <c r="I60" s="6">
        <v>-6688</v>
      </c>
      <c r="J60" s="6">
        <v>-7507</v>
      </c>
      <c r="K60" s="14">
        <f ca="1">K444*-1</f>
        <v>-7905.9834270762767</v>
      </c>
      <c r="L60" s="14">
        <f t="shared" ref="L60:O60" ca="1" si="36">L444*-1</f>
        <v>-8500.1172401133899</v>
      </c>
      <c r="M60" s="14">
        <f t="shared" ca="1" si="36"/>
        <v>-9089.636449635007</v>
      </c>
      <c r="N60" s="14">
        <f t="shared" ca="1" si="36"/>
        <v>-9812.842279024233</v>
      </c>
      <c r="O60" s="14">
        <f t="shared" ca="1" si="36"/>
        <v>-10652.741453874796</v>
      </c>
    </row>
    <row r="61" spans="2:15">
      <c r="B61" s="7" t="s">
        <v>49</v>
      </c>
      <c r="F61" s="6">
        <v>-9787</v>
      </c>
      <c r="G61" s="6">
        <v>-9920</v>
      </c>
      <c r="H61" s="6">
        <v>-2779</v>
      </c>
      <c r="I61" s="6">
        <v>-4494</v>
      </c>
      <c r="J61" s="6">
        <v>-8088</v>
      </c>
      <c r="K61" s="14">
        <f ca="1">K465*-1</f>
        <v>-5242.6007474534172</v>
      </c>
      <c r="L61" s="14">
        <f ca="1">L465*-1</f>
        <v>-6751.4570321045558</v>
      </c>
      <c r="M61" s="14">
        <f ca="1">M465*-1</f>
        <v>-8205.8895722763173</v>
      </c>
      <c r="N61" s="14">
        <f ca="1">N465*-1</f>
        <v>-8485.3873213474617</v>
      </c>
      <c r="O61" s="14">
        <f ca="1">O465*-1</f>
        <v>-1314.6653268182472</v>
      </c>
    </row>
    <row r="62" spans="2:15">
      <c r="B62" s="7" t="s">
        <v>531</v>
      </c>
      <c r="F62" s="6">
        <v>2815</v>
      </c>
      <c r="G62" s="6">
        <v>-1205</v>
      </c>
      <c r="H62" s="6">
        <v>-3509</v>
      </c>
      <c r="I62" s="6">
        <v>-214</v>
      </c>
      <c r="J62" s="6">
        <v>-328</v>
      </c>
      <c r="K62" s="14">
        <f>K592</f>
        <v>-173.6</v>
      </c>
      <c r="L62" s="14">
        <f t="shared" ref="L62:O62" si="37">L592</f>
        <v>-181.62</v>
      </c>
      <c r="M62" s="14">
        <f t="shared" si="37"/>
        <v>-256.74399999999997</v>
      </c>
      <c r="N62" s="14">
        <f t="shared" si="37"/>
        <v>-232.19279999999998</v>
      </c>
      <c r="O62" s="14">
        <f t="shared" si="37"/>
        <v>-206.53136000000001</v>
      </c>
    </row>
    <row r="63" spans="2:15">
      <c r="B63" s="7" t="s">
        <v>48</v>
      </c>
      <c r="F63" s="6">
        <v>-1515</v>
      </c>
      <c r="G63" s="6">
        <v>-2118</v>
      </c>
      <c r="H63" s="6">
        <v>-2248</v>
      </c>
      <c r="I63" s="6">
        <v>-2170</v>
      </c>
      <c r="J63" s="6">
        <v>-2511</v>
      </c>
      <c r="K63" s="14">
        <f>K597</f>
        <v>-2699.503839</v>
      </c>
      <c r="L63" s="14">
        <f t="shared" ref="L63:O63" si="38">L597</f>
        <v>-2885.0364675456249</v>
      </c>
      <c r="M63" s="14">
        <f t="shared" si="38"/>
        <v>-3124.7786363332038</v>
      </c>
      <c r="N63" s="14">
        <f t="shared" si="38"/>
        <v>-3478.5275638318699</v>
      </c>
      <c r="O63" s="14">
        <f t="shared" si="38"/>
        <v>-4058.5949435105108</v>
      </c>
    </row>
    <row r="64" spans="2:15">
      <c r="B64" s="5" t="s">
        <v>47</v>
      </c>
      <c r="C64" s="5"/>
      <c r="F64" s="183">
        <v>-22828</v>
      </c>
      <c r="G64" s="183">
        <v>-17039</v>
      </c>
      <c r="H64" s="183">
        <v>-13414</v>
      </c>
      <c r="I64" s="183">
        <v>-14822</v>
      </c>
      <c r="J64" s="183">
        <v>-13553</v>
      </c>
      <c r="K64" s="13">
        <f ca="1">SUM(K56:K63)</f>
        <v>-15136.188013529692</v>
      </c>
      <c r="L64" s="13">
        <f ca="1">SUM(L56:L63)</f>
        <v>-17508.98073976357</v>
      </c>
      <c r="M64" s="13">
        <f ca="1">SUM(M56:M63)</f>
        <v>-19829.79865824453</v>
      </c>
      <c r="N64" s="13">
        <f ca="1">SUM(N56:N63)</f>
        <v>-21473.199964203566</v>
      </c>
      <c r="O64" s="13">
        <f ca="1">SUM(O56:O63)</f>
        <v>-15582.533084203555</v>
      </c>
    </row>
    <row r="65" spans="1:18">
      <c r="F65" s="6"/>
      <c r="G65" s="6"/>
      <c r="H65" s="6"/>
      <c r="I65" s="6"/>
      <c r="J65" s="6"/>
      <c r="K65" s="14"/>
      <c r="L65" s="14"/>
      <c r="M65" s="14"/>
      <c r="N65" s="14"/>
      <c r="O65" s="14"/>
    </row>
    <row r="66" spans="1:18">
      <c r="B66" t="s">
        <v>46</v>
      </c>
      <c r="F66" s="6">
        <v>-140</v>
      </c>
      <c r="G66" s="6">
        <v>-73</v>
      </c>
      <c r="H66" s="6">
        <v>69</v>
      </c>
      <c r="I66" s="6">
        <v>-641</v>
      </c>
      <c r="J66" s="6">
        <v>123</v>
      </c>
      <c r="K66" s="14">
        <v>0</v>
      </c>
      <c r="L66" s="14">
        <v>0</v>
      </c>
      <c r="M66" s="14">
        <v>0</v>
      </c>
      <c r="N66" s="14">
        <v>0</v>
      </c>
      <c r="O66" s="14">
        <v>0</v>
      </c>
      <c r="R66" s="180" t="s">
        <v>515</v>
      </c>
    </row>
    <row r="67" spans="1:18">
      <c r="F67" s="6"/>
      <c r="G67" s="6"/>
      <c r="H67" s="6"/>
      <c r="I67" s="6"/>
      <c r="J67" s="6"/>
    </row>
    <row r="68" spans="1:18">
      <c r="B68" s="5" t="s">
        <v>45</v>
      </c>
      <c r="F68" s="6"/>
      <c r="G68" s="6"/>
      <c r="H68" s="6"/>
      <c r="I68" s="6"/>
      <c r="J68" s="6"/>
    </row>
    <row r="69" spans="1:18">
      <c r="B69" s="7" t="s">
        <v>44</v>
      </c>
      <c r="F69" s="6">
        <v>17788</v>
      </c>
      <c r="G69" s="6">
        <v>14834</v>
      </c>
      <c r="H69" s="6">
        <v>8841</v>
      </c>
      <c r="I69" s="6">
        <v>9935</v>
      </c>
      <c r="J69" s="6">
        <v>9536</v>
      </c>
      <c r="K69" s="14">
        <f>J71</f>
        <v>11321</v>
      </c>
      <c r="L69" s="14">
        <f t="shared" ref="L69" ca="1" si="39">K71</f>
        <v>11944.862025713206</v>
      </c>
      <c r="M69" s="14">
        <f ca="1">L71</f>
        <v>13560.871891374929</v>
      </c>
      <c r="N69" s="14">
        <f ca="1">M71</f>
        <v>15764.841289603708</v>
      </c>
      <c r="O69" s="14">
        <f ca="1">N71</f>
        <v>18062.736561053429</v>
      </c>
    </row>
    <row r="70" spans="1:18">
      <c r="B70" s="7" t="s">
        <v>43</v>
      </c>
      <c r="F70" s="6">
        <f>F64+F54+F47+F66</f>
        <v>-4802</v>
      </c>
      <c r="G70" s="6">
        <f>G64+G54+G47+G66</f>
        <v>-5993</v>
      </c>
      <c r="H70" s="6">
        <f>H64+H54+H47+H66</f>
        <v>1094</v>
      </c>
      <c r="I70" s="6">
        <f>I64+I54+I47+I66</f>
        <v>-399</v>
      </c>
      <c r="J70" s="6">
        <f>J64+J54+J47+J66</f>
        <v>1785</v>
      </c>
      <c r="K70" s="14">
        <f ca="1">K47+K54+K64</f>
        <v>623.86202571320609</v>
      </c>
      <c r="L70" s="14">
        <f ca="1">L47+L54+L64</f>
        <v>1616.0098656617229</v>
      </c>
      <c r="M70" s="14">
        <f ca="1">M47+M54+M64</f>
        <v>2203.969398228779</v>
      </c>
      <c r="N70" s="14">
        <f ca="1">N47+N54+N64</f>
        <v>2297.8952714497209</v>
      </c>
      <c r="O70" s="14">
        <f ca="1">O47+O54+O64</f>
        <v>12197.969905641221</v>
      </c>
    </row>
    <row r="71" spans="1:18">
      <c r="B71" s="11" t="s">
        <v>42</v>
      </c>
      <c r="C71" s="5"/>
      <c r="D71" s="5"/>
      <c r="E71" s="5"/>
      <c r="F71" s="231">
        <v>14834</v>
      </c>
      <c r="G71" s="231">
        <v>8841</v>
      </c>
      <c r="H71" s="231">
        <v>9935</v>
      </c>
      <c r="I71" s="231">
        <v>9536</v>
      </c>
      <c r="J71" s="231">
        <v>11321</v>
      </c>
      <c r="K71" s="227">
        <f ca="1">SUM(K69:K70)</f>
        <v>11944.862025713206</v>
      </c>
      <c r="L71" s="227">
        <f ca="1">SUM(L69:L70)</f>
        <v>13560.871891374929</v>
      </c>
      <c r="M71" s="227">
        <f ca="1">SUM(M69:M70)</f>
        <v>15764.841289603708</v>
      </c>
      <c r="N71" s="227">
        <f ca="1">SUM(N69:N70)</f>
        <v>18062.736561053429</v>
      </c>
      <c r="O71" s="227">
        <f ca="1">SUM(O69:O70)</f>
        <v>30260.70646669465</v>
      </c>
    </row>
    <row r="72" spans="1:18">
      <c r="C72" s="10"/>
      <c r="D72" s="10"/>
      <c r="E72" s="10"/>
      <c r="F72" s="10"/>
      <c r="G72" s="10"/>
      <c r="H72" s="10"/>
      <c r="I72" s="10"/>
    </row>
    <row r="73" spans="1:18">
      <c r="B73" s="9" t="s">
        <v>41</v>
      </c>
      <c r="C73" s="10"/>
      <c r="D73" s="10"/>
      <c r="E73" s="10"/>
      <c r="F73" s="10"/>
      <c r="G73" s="10"/>
      <c r="H73" s="10"/>
      <c r="I73" s="10"/>
    </row>
    <row r="74" spans="1:18">
      <c r="B74" s="9" t="s">
        <v>40</v>
      </c>
      <c r="C74" s="8"/>
      <c r="D74" s="8"/>
      <c r="E74" s="8"/>
      <c r="F74" s="8">
        <f>F71-F81</f>
        <v>74</v>
      </c>
      <c r="G74" s="8">
        <f>G71-G81</f>
        <v>216</v>
      </c>
      <c r="H74" s="8">
        <f>H71-H81</f>
        <v>68</v>
      </c>
      <c r="I74" s="8">
        <f>I71-I81</f>
        <v>499</v>
      </c>
      <c r="J74" s="8">
        <f>J71-J81</f>
        <v>594</v>
      </c>
      <c r="K74" s="8">
        <v>540</v>
      </c>
      <c r="L74" s="8">
        <v>540</v>
      </c>
      <c r="M74" s="8">
        <v>540</v>
      </c>
      <c r="N74" s="8">
        <v>540</v>
      </c>
      <c r="O74" s="8">
        <v>540</v>
      </c>
      <c r="R74" s="180" t="s">
        <v>444</v>
      </c>
    </row>
    <row r="75" spans="1:18">
      <c r="B75" s="9"/>
      <c r="C75" s="8"/>
      <c r="D75" s="8"/>
      <c r="E75" s="8"/>
      <c r="F75" s="8"/>
      <c r="G75" s="8"/>
      <c r="H75" s="8"/>
      <c r="I75" s="8"/>
      <c r="J75" s="8"/>
      <c r="R75" s="180" t="s">
        <v>545</v>
      </c>
    </row>
    <row r="76" spans="1:18">
      <c r="B76" s="9"/>
      <c r="C76" s="8"/>
      <c r="D76" s="8"/>
      <c r="E76" s="8"/>
      <c r="F76" s="8"/>
      <c r="G76" s="8"/>
      <c r="H76" s="8"/>
      <c r="I76" s="8"/>
    </row>
    <row r="77" spans="1:18">
      <c r="A77" t="s">
        <v>95</v>
      </c>
      <c r="B77" s="356" t="s">
        <v>39</v>
      </c>
      <c r="C77" s="357"/>
      <c r="D77" s="357"/>
      <c r="E77" s="357"/>
      <c r="F77" s="357"/>
      <c r="G77" s="357"/>
      <c r="H77" s="357"/>
      <c r="I77" s="357"/>
      <c r="J77" s="357"/>
      <c r="K77" s="357"/>
      <c r="L77" s="357"/>
      <c r="M77" s="357"/>
      <c r="N77" s="357"/>
      <c r="O77" s="357"/>
    </row>
    <row r="78" spans="1:18">
      <c r="B78" s="4" t="s">
        <v>1</v>
      </c>
    </row>
    <row r="79" spans="1:18">
      <c r="F79" s="3">
        <f t="shared" ref="F79:O79" si="40">F31</f>
        <v>44592</v>
      </c>
      <c r="G79" s="3">
        <f t="shared" si="40"/>
        <v>44957</v>
      </c>
      <c r="H79" s="3">
        <f t="shared" si="40"/>
        <v>45322</v>
      </c>
      <c r="I79" s="3">
        <f t="shared" si="40"/>
        <v>45688</v>
      </c>
      <c r="J79" s="3">
        <f t="shared" si="40"/>
        <v>46053</v>
      </c>
      <c r="K79" s="2">
        <f t="shared" si="40"/>
        <v>46418</v>
      </c>
      <c r="L79" s="2">
        <f t="shared" si="40"/>
        <v>46783</v>
      </c>
      <c r="M79" s="2">
        <f t="shared" si="40"/>
        <v>47149</v>
      </c>
      <c r="N79" s="2">
        <f t="shared" si="40"/>
        <v>47514</v>
      </c>
      <c r="O79" s="2">
        <f t="shared" si="40"/>
        <v>47879</v>
      </c>
    </row>
    <row r="80" spans="1:18">
      <c r="B80" s="5" t="s">
        <v>38</v>
      </c>
    </row>
    <row r="81" spans="2:20">
      <c r="B81" s="7" t="s">
        <v>37</v>
      </c>
      <c r="F81" s="6">
        <v>14760</v>
      </c>
      <c r="G81" s="6">
        <v>8625</v>
      </c>
      <c r="H81" s="6">
        <v>9867</v>
      </c>
      <c r="I81" s="6">
        <v>9037</v>
      </c>
      <c r="J81" s="6">
        <v>10727</v>
      </c>
      <c r="K81" s="14">
        <f ca="1">K71</f>
        <v>11944.862025713206</v>
      </c>
      <c r="L81" s="14">
        <f t="shared" ref="L81:O81" ca="1" si="41">L71</f>
        <v>13560.871891374929</v>
      </c>
      <c r="M81" s="14">
        <f t="shared" ca="1" si="41"/>
        <v>15764.841289603708</v>
      </c>
      <c r="N81" s="14">
        <f t="shared" ca="1" si="41"/>
        <v>18062.736561053429</v>
      </c>
      <c r="O81" s="14">
        <f t="shared" ca="1" si="41"/>
        <v>30260.70646669465</v>
      </c>
    </row>
    <row r="82" spans="2:20">
      <c r="B82" s="7" t="s">
        <v>36</v>
      </c>
      <c r="F82" s="6">
        <v>8280</v>
      </c>
      <c r="G82" s="6">
        <v>7933</v>
      </c>
      <c r="H82" s="6">
        <v>8796</v>
      </c>
      <c r="I82" s="6">
        <v>9975</v>
      </c>
      <c r="J82" s="6">
        <v>11172</v>
      </c>
      <c r="K82" s="14">
        <f>K200</f>
        <v>11504.734778082191</v>
      </c>
      <c r="L82" s="14">
        <f t="shared" ref="L82:O82" si="42">L200</f>
        <v>11910.452671421232</v>
      </c>
      <c r="M82" s="14">
        <f t="shared" si="42"/>
        <v>12327.893798136476</v>
      </c>
      <c r="N82" s="14">
        <f t="shared" si="42"/>
        <v>12787.373739073286</v>
      </c>
      <c r="O82" s="14">
        <f t="shared" si="42"/>
        <v>13292.20198787886</v>
      </c>
    </row>
    <row r="83" spans="2:20">
      <c r="B83" s="7" t="s">
        <v>35</v>
      </c>
      <c r="F83" s="6">
        <v>56511</v>
      </c>
      <c r="G83" s="6">
        <v>56576</v>
      </c>
      <c r="H83" s="6">
        <v>54892</v>
      </c>
      <c r="I83" s="6">
        <v>56435</v>
      </c>
      <c r="J83" s="6">
        <v>58851</v>
      </c>
      <c r="K83" s="14">
        <f>K201</f>
        <v>61632.507739726017</v>
      </c>
      <c r="L83" s="14">
        <f t="shared" ref="L83:O83" si="43">L201</f>
        <v>64111.259809198804</v>
      </c>
      <c r="M83" s="14">
        <f t="shared" si="43"/>
        <v>66687.056618030474</v>
      </c>
      <c r="N83" s="14">
        <f t="shared" si="43"/>
        <v>69527.725638171629</v>
      </c>
      <c r="O83" s="14">
        <f t="shared" si="43"/>
        <v>72657.221019897828</v>
      </c>
    </row>
    <row r="84" spans="2:20">
      <c r="B84" s="7" t="s">
        <v>34</v>
      </c>
      <c r="F84" s="6">
        <v>1519</v>
      </c>
      <c r="G84" s="6">
        <v>2521</v>
      </c>
      <c r="H84" s="6">
        <v>3322</v>
      </c>
      <c r="I84" s="6">
        <v>4011</v>
      </c>
      <c r="J84" s="6">
        <v>4124</v>
      </c>
      <c r="K84" s="14">
        <f>K552</f>
        <v>4365.6359648972602</v>
      </c>
      <c r="L84" s="14">
        <f t="shared" ref="L84:O84" si="44">L552</f>
        <v>4872.4579110359582</v>
      </c>
      <c r="M84" s="14">
        <f t="shared" si="44"/>
        <v>5307.843163086538</v>
      </c>
      <c r="N84" s="14">
        <f t="shared" si="44"/>
        <v>5911.1444642885954</v>
      </c>
      <c r="O84" s="14">
        <f t="shared" si="44"/>
        <v>6837.8154456876809</v>
      </c>
    </row>
    <row r="85" spans="2:20">
      <c r="B85" s="7"/>
      <c r="F85" s="6"/>
      <c r="G85" s="6"/>
      <c r="H85" s="6"/>
      <c r="I85" s="6"/>
      <c r="J85" s="6"/>
      <c r="P85" s="14"/>
    </row>
    <row r="86" spans="2:20">
      <c r="B86" s="7"/>
      <c r="F86" s="6"/>
      <c r="G86" s="6"/>
      <c r="H86" s="6"/>
      <c r="I86" s="6"/>
      <c r="J86" s="6"/>
    </row>
    <row r="87" spans="2:20">
      <c r="B87" s="7" t="s">
        <v>33</v>
      </c>
      <c r="F87" s="6">
        <v>94515</v>
      </c>
      <c r="G87" s="6">
        <v>100760</v>
      </c>
      <c r="H87" s="6">
        <v>110810</v>
      </c>
      <c r="I87" s="6">
        <v>119993</v>
      </c>
      <c r="J87" s="6">
        <v>136083</v>
      </c>
      <c r="K87" s="14">
        <f>K270</f>
        <v>148259.25385568751</v>
      </c>
      <c r="L87" s="14">
        <f ca="1">L270</f>
        <v>161389.21066447342</v>
      </c>
      <c r="M87" s="14">
        <f ca="1">M270</f>
        <v>173490.76481014412</v>
      </c>
      <c r="N87" s="14">
        <f ca="1">N270</f>
        <v>186672.41688992747</v>
      </c>
      <c r="O87" s="14">
        <f ca="1">O270</f>
        <v>198820.49223182187</v>
      </c>
    </row>
    <row r="88" spans="2:20">
      <c r="B88" s="7" t="s">
        <v>32</v>
      </c>
      <c r="F88" s="6">
        <v>13758</v>
      </c>
      <c r="G88" s="6">
        <v>13555</v>
      </c>
      <c r="H88" s="6">
        <v>13673</v>
      </c>
      <c r="I88" s="6">
        <v>13599</v>
      </c>
      <c r="J88" s="6">
        <v>14750</v>
      </c>
      <c r="K88" s="14">
        <f>K517</f>
        <v>15694.249</v>
      </c>
      <c r="L88" s="14">
        <f t="shared" ref="L88:O88" si="45">L517</f>
        <v>15664.645994125</v>
      </c>
      <c r="M88" s="14">
        <f t="shared" si="45"/>
        <v>15754.54168220784</v>
      </c>
      <c r="N88" s="14">
        <f t="shared" si="45"/>
        <v>16036.118209651046</v>
      </c>
      <c r="O88" s="14">
        <f t="shared" si="45"/>
        <v>16618.603031392337</v>
      </c>
    </row>
    <row r="89" spans="2:20">
      <c r="B89" s="7" t="s">
        <v>31</v>
      </c>
      <c r="F89" s="6">
        <v>4351</v>
      </c>
      <c r="G89" s="6">
        <v>4919</v>
      </c>
      <c r="H89" s="6">
        <v>5855</v>
      </c>
      <c r="I89" s="6">
        <v>6112</v>
      </c>
      <c r="J89" s="6">
        <v>6123</v>
      </c>
      <c r="K89" s="14">
        <f>K523</f>
        <v>6318.1702173913036</v>
      </c>
      <c r="L89" s="14">
        <f t="shared" ref="L89:O89" si="46">L523</f>
        <v>6548.1927776561897</v>
      </c>
      <c r="M89" s="14">
        <f t="shared" si="46"/>
        <v>6842.9512044541061</v>
      </c>
      <c r="N89" s="14">
        <f t="shared" si="46"/>
        <v>7239.5628980008323</v>
      </c>
      <c r="O89" s="14">
        <f t="shared" si="46"/>
        <v>7787.8059174977898</v>
      </c>
    </row>
    <row r="90" spans="2:20">
      <c r="B90" s="7" t="s">
        <v>30</v>
      </c>
      <c r="F90" s="6">
        <v>29014</v>
      </c>
      <c r="G90" s="6">
        <v>28174</v>
      </c>
      <c r="H90" s="6">
        <v>28113</v>
      </c>
      <c r="I90" s="6">
        <v>28792</v>
      </c>
      <c r="J90" s="6">
        <v>28735</v>
      </c>
      <c r="K90" s="14">
        <f>K272</f>
        <v>28878.674999999996</v>
      </c>
      <c r="L90" s="14">
        <f t="shared" ref="L90:O90" si="47">L272</f>
        <v>29023.068374999992</v>
      </c>
      <c r="M90" s="14">
        <f t="shared" si="47"/>
        <v>29168.183716874988</v>
      </c>
      <c r="N90" s="14">
        <f t="shared" si="47"/>
        <v>29314.024635459358</v>
      </c>
      <c r="O90" s="14">
        <f t="shared" si="47"/>
        <v>29460.594758636653</v>
      </c>
      <c r="R90" s="180" t="s">
        <v>445</v>
      </c>
    </row>
    <row r="91" spans="2:20">
      <c r="B91" s="7" t="s">
        <v>29</v>
      </c>
      <c r="F91" s="6">
        <v>22152</v>
      </c>
      <c r="G91" s="6">
        <v>20134</v>
      </c>
      <c r="H91" s="6">
        <v>17071</v>
      </c>
      <c r="I91" s="6">
        <v>12869</v>
      </c>
      <c r="J91" s="6">
        <v>14103</v>
      </c>
      <c r="K91" s="14">
        <f>K556</f>
        <v>15372.174638750001</v>
      </c>
      <c r="L91" s="14">
        <f t="shared" ref="L91:O91" si="48">L556</f>
        <v>16598.8399502625</v>
      </c>
      <c r="M91" s="14">
        <f t="shared" si="48"/>
        <v>17915.397514977034</v>
      </c>
      <c r="N91" s="14">
        <f t="shared" si="48"/>
        <v>19374.077570709145</v>
      </c>
      <c r="O91" s="14">
        <f t="shared" si="48"/>
        <v>20992.732466433677</v>
      </c>
    </row>
    <row r="92" spans="2:20">
      <c r="B92" s="5" t="s">
        <v>28</v>
      </c>
      <c r="C92" s="5"/>
      <c r="D92" s="5"/>
      <c r="E92" s="5"/>
      <c r="F92" s="6">
        <v>244860</v>
      </c>
      <c r="G92" s="6">
        <v>243197</v>
      </c>
      <c r="H92" s="6">
        <v>252399</v>
      </c>
      <c r="I92" s="6">
        <v>260823</v>
      </c>
      <c r="J92" s="6">
        <v>284668</v>
      </c>
      <c r="K92" s="13">
        <f ca="1">SUM(K81:K91)</f>
        <v>303970.26322024746</v>
      </c>
      <c r="L92" s="13">
        <f ca="1">SUM(L81:L91)</f>
        <v>323679.00004454801</v>
      </c>
      <c r="M92" s="13">
        <f ca="1">SUM(M81:M91)</f>
        <v>343259.47379751527</v>
      </c>
      <c r="N92" s="13">
        <f ca="1">SUM(N81:N91)</f>
        <v>364925.18060633476</v>
      </c>
      <c r="O92" s="13">
        <f ca="1">SUM(O81:O91)</f>
        <v>396728.17332594132</v>
      </c>
    </row>
    <row r="93" spans="2:20">
      <c r="F93" s="6"/>
      <c r="G93" s="6"/>
      <c r="H93" s="6"/>
      <c r="I93" s="6"/>
      <c r="J93" s="6"/>
    </row>
    <row r="94" spans="2:20">
      <c r="B94" s="5" t="s">
        <v>27</v>
      </c>
      <c r="F94" s="6"/>
      <c r="G94" s="6"/>
      <c r="H94" s="6"/>
      <c r="I94" s="6"/>
      <c r="J94" s="6"/>
      <c r="K94" s="14"/>
    </row>
    <row r="95" spans="2:20">
      <c r="B95" s="7" t="s">
        <v>26</v>
      </c>
      <c r="F95" s="6">
        <v>410</v>
      </c>
      <c r="G95" s="6">
        <v>372</v>
      </c>
      <c r="H95" s="6">
        <v>878</v>
      </c>
      <c r="I95" s="6">
        <v>3068</v>
      </c>
      <c r="J95" s="6">
        <v>6596</v>
      </c>
      <c r="K95" s="78">
        <f>K396</f>
        <v>6596</v>
      </c>
      <c r="L95" s="78">
        <f t="shared" ref="L95:O95" si="49">L396</f>
        <v>6596</v>
      </c>
      <c r="M95" s="78">
        <f t="shared" si="49"/>
        <v>6596</v>
      </c>
      <c r="N95" s="78">
        <f t="shared" si="49"/>
        <v>6596</v>
      </c>
      <c r="O95" s="78">
        <f t="shared" si="49"/>
        <v>6596</v>
      </c>
      <c r="S95" s="14"/>
      <c r="T95" s="14"/>
    </row>
    <row r="96" spans="2:20">
      <c r="B96" s="7" t="s">
        <v>25</v>
      </c>
      <c r="F96" s="6">
        <v>55261</v>
      </c>
      <c r="G96" s="6">
        <v>53742</v>
      </c>
      <c r="H96" s="6">
        <v>56812</v>
      </c>
      <c r="I96" s="6">
        <v>58666</v>
      </c>
      <c r="J96" s="6">
        <v>63061</v>
      </c>
      <c r="K96" s="14">
        <f>K202</f>
        <v>65099.336300085604</v>
      </c>
      <c r="L96" s="14">
        <f t="shared" ref="L96:O96" si="50">L202</f>
        <v>68980.469414960739</v>
      </c>
      <c r="M96" s="14">
        <f t="shared" si="50"/>
        <v>72671.792468366548</v>
      </c>
      <c r="N96" s="14">
        <f t="shared" si="50"/>
        <v>77202.864182645135</v>
      </c>
      <c r="O96" s="14">
        <f t="shared" si="50"/>
        <v>82217.38168041069</v>
      </c>
      <c r="S96" s="14"/>
      <c r="T96" s="14"/>
    </row>
    <row r="97" spans="2:22">
      <c r="B97" s="7" t="s">
        <v>499</v>
      </c>
      <c r="F97" s="6">
        <v>26060</v>
      </c>
      <c r="G97" s="6">
        <v>31126</v>
      </c>
      <c r="H97" s="6">
        <v>28759</v>
      </c>
      <c r="I97" s="6">
        <v>29345</v>
      </c>
      <c r="J97" s="6">
        <v>31187</v>
      </c>
      <c r="K97" s="14">
        <f>K559</f>
        <v>32596.058010035631</v>
      </c>
      <c r="L97" s="14">
        <f t="shared" ref="L97:O97" si="51">L559</f>
        <v>34164.536296437807</v>
      </c>
      <c r="M97" s="14">
        <f t="shared" si="51"/>
        <v>35812.805015782556</v>
      </c>
      <c r="N97" s="14">
        <f t="shared" si="51"/>
        <v>37634.120429956958</v>
      </c>
      <c r="O97" s="14">
        <f t="shared" si="51"/>
        <v>39646.307387186564</v>
      </c>
      <c r="S97" s="14"/>
      <c r="T97" s="14"/>
      <c r="U97" s="14"/>
      <c r="V97" s="14"/>
    </row>
    <row r="98" spans="2:22">
      <c r="B98" s="7" t="s">
        <v>23</v>
      </c>
      <c r="F98" s="6">
        <v>851</v>
      </c>
      <c r="G98" s="6">
        <v>727</v>
      </c>
      <c r="H98" s="6">
        <v>307</v>
      </c>
      <c r="I98" s="6">
        <v>608</v>
      </c>
      <c r="J98" s="6">
        <v>596</v>
      </c>
      <c r="K98" s="14">
        <f ca="1">K563</f>
        <v>689.24773263354837</v>
      </c>
      <c r="L98" s="14">
        <f t="shared" ref="L98:O98" ca="1" si="52">L563</f>
        <v>746.15951658376343</v>
      </c>
      <c r="M98" s="14">
        <f t="shared" ca="1" si="52"/>
        <v>829.85966133380782</v>
      </c>
      <c r="N98" s="14">
        <f t="shared" ca="1" si="52"/>
        <v>899.79709905028801</v>
      </c>
      <c r="O98" s="14">
        <f t="shared" ca="1" si="52"/>
        <v>1007.8875730506759</v>
      </c>
      <c r="S98" s="14"/>
    </row>
    <row r="99" spans="2:22">
      <c r="B99" s="7" t="s">
        <v>538</v>
      </c>
      <c r="F99" s="6">
        <v>0</v>
      </c>
      <c r="G99" s="6">
        <v>0</v>
      </c>
      <c r="H99" s="6">
        <v>0</v>
      </c>
      <c r="I99" s="6">
        <v>0</v>
      </c>
      <c r="J99" s="6">
        <v>0</v>
      </c>
      <c r="K99" s="14">
        <f ca="1">K420</f>
        <v>0</v>
      </c>
      <c r="L99" s="14">
        <f t="shared" ref="L99:O99" ca="1" si="53">L420</f>
        <v>0</v>
      </c>
      <c r="M99" s="14">
        <f t="shared" ca="1" si="53"/>
        <v>0</v>
      </c>
      <c r="N99" s="14">
        <f t="shared" ca="1" si="53"/>
        <v>0</v>
      </c>
      <c r="O99" s="14">
        <f t="shared" ca="1" si="53"/>
        <v>0</v>
      </c>
    </row>
    <row r="100" spans="2:22">
      <c r="B100" s="7"/>
      <c r="F100" s="6"/>
      <c r="G100" s="6"/>
      <c r="H100" s="6"/>
      <c r="I100" s="6"/>
      <c r="J100" s="6"/>
      <c r="K100" s="14"/>
    </row>
    <row r="101" spans="2:22">
      <c r="B101" s="7" t="s">
        <v>19</v>
      </c>
      <c r="F101" s="6">
        <f>Notes!E196</f>
        <v>37667</v>
      </c>
      <c r="G101" s="6">
        <f>Notes!F196</f>
        <v>38840</v>
      </c>
      <c r="H101" s="6">
        <f>Notes!G196</f>
        <v>39579</v>
      </c>
      <c r="I101" s="6">
        <f>Notes!H196</f>
        <v>35999</v>
      </c>
      <c r="J101" s="6">
        <f>Notes!I196</f>
        <v>38166</v>
      </c>
      <c r="K101" s="78">
        <f>K388</f>
        <v>39051.5</v>
      </c>
      <c r="L101" s="78">
        <f t="shared" ref="L101:O101" si="54">L388</f>
        <v>39860.75</v>
      </c>
      <c r="M101" s="78">
        <f t="shared" si="54"/>
        <v>40708</v>
      </c>
      <c r="N101" s="78">
        <f t="shared" si="54"/>
        <v>41243.75</v>
      </c>
      <c r="O101" s="78">
        <f t="shared" si="54"/>
        <v>41893.75</v>
      </c>
    </row>
    <row r="102" spans="2:22">
      <c r="B102" s="7" t="s">
        <v>504</v>
      </c>
      <c r="F102" s="6">
        <f>Notes!E187</f>
        <v>14492</v>
      </c>
      <c r="G102" s="6">
        <f>Notes!F187</f>
        <v>14301</v>
      </c>
      <c r="H102" s="6">
        <f>Notes!G187</f>
        <v>14430</v>
      </c>
      <c r="I102" s="6">
        <f>Notes!H187</f>
        <v>14324</v>
      </c>
      <c r="J102" s="6">
        <f>Notes!I187</f>
        <v>15572</v>
      </c>
      <c r="K102" s="14">
        <f>K531</f>
        <v>16637.629000000001</v>
      </c>
      <c r="L102" s="14">
        <f t="shared" ref="L102:O102" si="55">L531</f>
        <v>17849.030889124999</v>
      </c>
      <c r="M102" s="14">
        <f t="shared" si="55"/>
        <v>19268.824974671632</v>
      </c>
      <c r="N102" s="14">
        <f t="shared" si="55"/>
        <v>20986.473111397212</v>
      </c>
      <c r="O102" s="14">
        <f t="shared" si="55"/>
        <v>23135.20996386269</v>
      </c>
    </row>
    <row r="103" spans="2:22">
      <c r="B103" s="7" t="s">
        <v>505</v>
      </c>
      <c r="F103" s="6">
        <f>Notes!E191</f>
        <v>4754</v>
      </c>
      <c r="G103" s="6">
        <f>Notes!F191</f>
        <v>5410</v>
      </c>
      <c r="H103" s="6">
        <f>Notes!G191</f>
        <v>6434</v>
      </c>
      <c r="I103" s="6">
        <f>Notes!H191</f>
        <v>6723</v>
      </c>
      <c r="J103" s="6">
        <f>Notes!I191</f>
        <v>6761</v>
      </c>
      <c r="K103" s="14">
        <f>K538</f>
        <v>7053.0550000000003</v>
      </c>
      <c r="L103" s="14">
        <f t="shared" ref="L103:O103" si="56">L538</f>
        <v>7380.661188125001</v>
      </c>
      <c r="M103" s="14">
        <f t="shared" si="56"/>
        <v>7758.0632501497212</v>
      </c>
      <c r="N103" s="14">
        <f t="shared" si="56"/>
        <v>8206.6545781615205</v>
      </c>
      <c r="O103" s="14">
        <f t="shared" si="56"/>
        <v>8759.7219372047948</v>
      </c>
    </row>
    <row r="104" spans="2:22">
      <c r="B104" s="7" t="s">
        <v>16</v>
      </c>
      <c r="F104" s="6">
        <v>13474</v>
      </c>
      <c r="G104" s="6">
        <v>14688</v>
      </c>
      <c r="H104" s="6">
        <v>14629</v>
      </c>
      <c r="I104" s="6">
        <v>14398</v>
      </c>
      <c r="J104" s="6">
        <v>16549</v>
      </c>
      <c r="K104" s="14">
        <f ca="1">K573</f>
        <v>18644.528498080472</v>
      </c>
      <c r="L104" s="14">
        <f t="shared" ref="L104:O104" ca="1" si="57">L573</f>
        <v>20382.906147460817</v>
      </c>
      <c r="M104" s="14">
        <f t="shared" ca="1" si="57"/>
        <v>21801.180743984369</v>
      </c>
      <c r="N104" s="14">
        <f t="shared" ca="1" si="57"/>
        <v>22896.302454430661</v>
      </c>
      <c r="O104" s="14">
        <f t="shared" ca="1" si="57"/>
        <v>23692.536732489039</v>
      </c>
    </row>
    <row r="105" spans="2:22">
      <c r="B105" s="5" t="s">
        <v>15</v>
      </c>
      <c r="C105" s="5"/>
      <c r="D105" s="5"/>
      <c r="E105" s="5"/>
      <c r="F105" s="6">
        <v>152969</v>
      </c>
      <c r="G105" s="6">
        <v>159206</v>
      </c>
      <c r="H105" s="6">
        <v>161828</v>
      </c>
      <c r="I105" s="6">
        <v>163131</v>
      </c>
      <c r="J105" s="6">
        <v>178488</v>
      </c>
      <c r="K105" s="13">
        <f ca="1">SUM(K95:K104)</f>
        <v>186367.35454083528</v>
      </c>
      <c r="L105" s="13">
        <f ca="1">SUM(L95:L104)</f>
        <v>195960.51345269312</v>
      </c>
      <c r="M105" s="13">
        <f ca="1">SUM(M95:M104)</f>
        <v>205446.5261142886</v>
      </c>
      <c r="N105" s="13">
        <f ca="1">SUM(N95:N104)</f>
        <v>215665.9618556418</v>
      </c>
      <c r="O105" s="13">
        <f ca="1">SUM(O95:O104)</f>
        <v>226948.79527420446</v>
      </c>
    </row>
    <row r="106" spans="2:22">
      <c r="B106" s="5"/>
      <c r="C106" s="5"/>
      <c r="F106" s="6"/>
      <c r="G106" s="6"/>
      <c r="H106" s="6"/>
      <c r="I106" s="6"/>
      <c r="J106" s="6"/>
      <c r="K106" s="14"/>
    </row>
    <row r="107" spans="2:22">
      <c r="B107" t="s">
        <v>14</v>
      </c>
      <c r="F107" s="6"/>
      <c r="G107" s="6"/>
      <c r="H107" s="6"/>
      <c r="I107" s="6"/>
      <c r="J107" s="6"/>
      <c r="K107" s="14"/>
    </row>
    <row r="108" spans="2:22">
      <c r="F108" s="6"/>
      <c r="G108" s="6"/>
      <c r="H108" s="6"/>
      <c r="I108" s="6"/>
      <c r="J108" s="6"/>
      <c r="K108" s="14"/>
      <c r="L108" s="14"/>
    </row>
    <row r="109" spans="2:22">
      <c r="B109" t="s">
        <v>13</v>
      </c>
      <c r="F109" s="6">
        <v>0</v>
      </c>
      <c r="G109" s="6">
        <v>237</v>
      </c>
      <c r="H109" s="6">
        <v>222</v>
      </c>
      <c r="I109" s="6">
        <v>271</v>
      </c>
      <c r="J109" s="6">
        <v>293</v>
      </c>
      <c r="K109" s="14">
        <v>293</v>
      </c>
      <c r="L109" s="14">
        <v>293</v>
      </c>
      <c r="M109" s="14">
        <v>293</v>
      </c>
      <c r="N109" s="14">
        <v>293</v>
      </c>
      <c r="O109" s="14">
        <v>293</v>
      </c>
      <c r="R109" s="180" t="s">
        <v>479</v>
      </c>
    </row>
    <row r="110" spans="2:22">
      <c r="F110" s="6"/>
      <c r="G110" s="6"/>
      <c r="H110" s="6"/>
      <c r="I110" s="6"/>
      <c r="J110" s="6"/>
    </row>
    <row r="111" spans="2:22">
      <c r="B111" s="5" t="s">
        <v>12</v>
      </c>
      <c r="F111" s="6"/>
      <c r="G111" s="6"/>
      <c r="H111" s="6"/>
      <c r="I111" s="6"/>
      <c r="J111" s="6"/>
    </row>
    <row r="112" spans="2:22">
      <c r="B112" s="7" t="s">
        <v>11</v>
      </c>
      <c r="F112" s="6">
        <v>276</v>
      </c>
      <c r="G112" s="6">
        <v>808</v>
      </c>
      <c r="H112" s="6">
        <v>805</v>
      </c>
      <c r="I112" s="6">
        <v>802</v>
      </c>
      <c r="J112" s="6">
        <v>797</v>
      </c>
      <c r="K112" s="14">
        <f>J112</f>
        <v>797</v>
      </c>
      <c r="L112" s="14">
        <f t="shared" ref="L112:O112" si="58">K112</f>
        <v>797</v>
      </c>
      <c r="M112" s="14">
        <f t="shared" si="58"/>
        <v>797</v>
      </c>
      <c r="N112" s="14">
        <f t="shared" si="58"/>
        <v>797</v>
      </c>
      <c r="O112" s="14">
        <f t="shared" si="58"/>
        <v>797</v>
      </c>
    </row>
    <row r="113" spans="1:16">
      <c r="B113" s="7" t="s">
        <v>10</v>
      </c>
      <c r="F113" s="6">
        <v>4839</v>
      </c>
      <c r="G113" s="6">
        <v>4430</v>
      </c>
      <c r="H113" s="6">
        <v>4544</v>
      </c>
      <c r="I113" s="6">
        <v>5503</v>
      </c>
      <c r="J113" s="6">
        <v>6816</v>
      </c>
      <c r="K113" s="14">
        <f>J113</f>
        <v>6816</v>
      </c>
      <c r="L113" s="14">
        <f t="shared" ref="L113:O113" si="59">K113</f>
        <v>6816</v>
      </c>
      <c r="M113" s="14">
        <f t="shared" si="59"/>
        <v>6816</v>
      </c>
      <c r="N113" s="14">
        <f t="shared" si="59"/>
        <v>6816</v>
      </c>
      <c r="O113" s="14">
        <f t="shared" si="59"/>
        <v>6816</v>
      </c>
    </row>
    <row r="114" spans="1:16">
      <c r="B114" s="7" t="s">
        <v>9</v>
      </c>
      <c r="F114" s="6">
        <v>86904</v>
      </c>
      <c r="G114" s="6">
        <v>83135</v>
      </c>
      <c r="H114" s="6">
        <v>89814</v>
      </c>
      <c r="I114" s="6">
        <v>98313</v>
      </c>
      <c r="J114" s="6">
        <v>104774</v>
      </c>
      <c r="K114" s="78">
        <f ca="1">K453</f>
        <v>114878.30825804759</v>
      </c>
      <c r="L114" s="78">
        <f t="shared" ref="L114:O114" ca="1" si="60">L453</f>
        <v>124812.26654912859</v>
      </c>
      <c r="M114" s="78">
        <f t="shared" ca="1" si="60"/>
        <v>134649.98366045608</v>
      </c>
      <c r="N114" s="78">
        <f t="shared" ca="1" si="60"/>
        <v>145864.06166617232</v>
      </c>
      <c r="O114" s="78">
        <f t="shared" ca="1" si="60"/>
        <v>166177.68959419077</v>
      </c>
    </row>
    <row r="115" spans="1:16">
      <c r="B115" s="7" t="s">
        <v>8</v>
      </c>
      <c r="F115" s="6">
        <v>-8766</v>
      </c>
      <c r="G115" s="6">
        <v>-11680</v>
      </c>
      <c r="H115" s="6">
        <v>-11302</v>
      </c>
      <c r="I115" s="6">
        <v>-13605</v>
      </c>
      <c r="J115" s="6">
        <v>-12770</v>
      </c>
      <c r="K115" s="14">
        <f>K468</f>
        <v>-11625</v>
      </c>
      <c r="L115" s="14">
        <f t="shared" ref="L115:O115" si="61">L468</f>
        <v>-11625</v>
      </c>
      <c r="M115" s="14">
        <f t="shared" si="61"/>
        <v>-11625</v>
      </c>
      <c r="N115" s="14">
        <f t="shared" si="61"/>
        <v>-11625</v>
      </c>
      <c r="O115" s="14">
        <f t="shared" si="61"/>
        <v>-11625</v>
      </c>
    </row>
    <row r="116" spans="1:16">
      <c r="B116" s="7" t="s">
        <v>7</v>
      </c>
      <c r="F116" s="6">
        <v>83253</v>
      </c>
      <c r="G116" s="6">
        <v>76693</v>
      </c>
      <c r="H116" s="6">
        <v>83861</v>
      </c>
      <c r="I116" s="6">
        <v>91013</v>
      </c>
      <c r="J116" s="6">
        <v>99617</v>
      </c>
      <c r="K116" s="14">
        <f ca="1">SUM(K112:K115)</f>
        <v>110866.30825804759</v>
      </c>
      <c r="L116" s="14">
        <f t="shared" ref="L116:O116" ca="1" si="62">SUM(L112:L115)</f>
        <v>120800.26654912857</v>
      </c>
      <c r="M116" s="14">
        <f t="shared" ca="1" si="62"/>
        <v>130637.98366045608</v>
      </c>
      <c r="N116" s="14">
        <f t="shared" ca="1" si="62"/>
        <v>141852.06166617232</v>
      </c>
      <c r="O116" s="14">
        <f t="shared" ca="1" si="62"/>
        <v>162165.68959419077</v>
      </c>
    </row>
    <row r="117" spans="1:16">
      <c r="B117" s="7" t="s">
        <v>6</v>
      </c>
      <c r="F117" s="6">
        <v>8638</v>
      </c>
      <c r="G117" s="6">
        <v>7061</v>
      </c>
      <c r="H117" s="6">
        <v>6488</v>
      </c>
      <c r="I117" s="6">
        <v>6408</v>
      </c>
      <c r="J117" s="6">
        <v>6270</v>
      </c>
      <c r="K117" s="14">
        <f>K474</f>
        <v>6443.5999999999995</v>
      </c>
      <c r="L117" s="14">
        <f t="shared" ref="L117:O117" si="63">L474</f>
        <v>6625.2199999999993</v>
      </c>
      <c r="M117" s="14">
        <f t="shared" si="63"/>
        <v>6881.9639999999999</v>
      </c>
      <c r="N117" s="14">
        <f t="shared" si="63"/>
        <v>7114.1567999999997</v>
      </c>
      <c r="O117" s="14">
        <f t="shared" si="63"/>
        <v>7320.6881599999997</v>
      </c>
    </row>
    <row r="118" spans="1:16">
      <c r="B118" s="5" t="s">
        <v>5</v>
      </c>
      <c r="C118" s="5"/>
      <c r="D118" s="5"/>
      <c r="E118" s="5"/>
      <c r="F118" s="6">
        <v>91891</v>
      </c>
      <c r="G118" s="6">
        <v>83754</v>
      </c>
      <c r="H118" s="6">
        <v>90349</v>
      </c>
      <c r="I118" s="6">
        <v>97421</v>
      </c>
      <c r="J118" s="6">
        <v>105887</v>
      </c>
      <c r="K118" s="13">
        <f ca="1">SUM(K116:K117)</f>
        <v>117309.9082580476</v>
      </c>
      <c r="L118" s="13">
        <f t="shared" ref="L118:O118" ca="1" si="64">SUM(L116:L117)</f>
        <v>127425.48654912857</v>
      </c>
      <c r="M118" s="13">
        <f t="shared" ca="1" si="64"/>
        <v>137519.94766045609</v>
      </c>
      <c r="N118" s="13">
        <f t="shared" ca="1" si="64"/>
        <v>148966.21846617231</v>
      </c>
      <c r="O118" s="13">
        <f t="shared" ca="1" si="64"/>
        <v>169486.37775419076</v>
      </c>
    </row>
    <row r="119" spans="1:16">
      <c r="B119" s="5"/>
      <c r="C119" s="5"/>
      <c r="F119" s="6"/>
      <c r="G119" s="6"/>
      <c r="H119" s="6"/>
      <c r="I119" s="6"/>
      <c r="J119" s="6"/>
    </row>
    <row r="120" spans="1:16">
      <c r="B120" s="5" t="s">
        <v>4</v>
      </c>
      <c r="C120" s="5"/>
      <c r="D120" s="5"/>
      <c r="E120" s="5"/>
      <c r="F120" s="6">
        <f t="shared" ref="F120:K120" si="65">F118+F105+F109</f>
        <v>244860</v>
      </c>
      <c r="G120" s="6">
        <f t="shared" si="65"/>
        <v>243197</v>
      </c>
      <c r="H120" s="6">
        <f t="shared" si="65"/>
        <v>252399</v>
      </c>
      <c r="I120" s="6">
        <f t="shared" si="65"/>
        <v>260823</v>
      </c>
      <c r="J120" s="6">
        <f t="shared" si="65"/>
        <v>284668</v>
      </c>
      <c r="K120" s="254">
        <f t="shared" ca="1" si="65"/>
        <v>303970.2627988829</v>
      </c>
      <c r="L120" s="254">
        <f t="shared" ref="L120:O120" ca="1" si="66">L118+L105+L109</f>
        <v>323679.00000182167</v>
      </c>
      <c r="M120" s="254">
        <f t="shared" ca="1" si="66"/>
        <v>343259.47377474466</v>
      </c>
      <c r="N120" s="254">
        <f t="shared" ca="1" si="66"/>
        <v>364925.18032181414</v>
      </c>
      <c r="O120" s="254">
        <f t="shared" ca="1" si="66"/>
        <v>396728.17302839522</v>
      </c>
    </row>
    <row r="121" spans="1:16">
      <c r="B121" s="5"/>
      <c r="C121" s="5"/>
    </row>
    <row r="122" spans="1:16">
      <c r="B122" t="s">
        <v>3</v>
      </c>
      <c r="F122" s="6">
        <f>F92-F120</f>
        <v>0</v>
      </c>
      <c r="G122" s="6">
        <f>G92-G120</f>
        <v>0</v>
      </c>
      <c r="H122" s="6">
        <f>H92-H120</f>
        <v>0</v>
      </c>
      <c r="I122" s="6">
        <f>I92-I120</f>
        <v>0</v>
      </c>
      <c r="J122" s="6">
        <f>J92-J120</f>
        <v>0</v>
      </c>
      <c r="K122" s="254">
        <f t="shared" ref="K122:O122" ca="1" si="67">K92-K120</f>
        <v>4.213645588606596E-4</v>
      </c>
      <c r="L122" s="254">
        <f t="shared" ca="1" si="67"/>
        <v>4.2726343963295221E-5</v>
      </c>
      <c r="M122" s="254">
        <f t="shared" ca="1" si="67"/>
        <v>2.2770604118704796E-5</v>
      </c>
      <c r="N122" s="254">
        <f t="shared" ca="1" si="67"/>
        <v>2.8452061815187335E-4</v>
      </c>
      <c r="O122" s="254">
        <f t="shared" ca="1" si="67"/>
        <v>2.9754609568044543E-4</v>
      </c>
    </row>
    <row r="125" spans="1:16">
      <c r="A125" t="s">
        <v>95</v>
      </c>
      <c r="B125" s="356" t="s">
        <v>2</v>
      </c>
      <c r="C125" s="357"/>
      <c r="D125" s="357"/>
      <c r="E125" s="357"/>
      <c r="F125" s="357"/>
      <c r="G125" s="357"/>
      <c r="H125" s="357"/>
      <c r="I125" s="357"/>
      <c r="J125" s="357"/>
      <c r="K125" s="357"/>
      <c r="L125" s="357"/>
      <c r="M125" s="357"/>
      <c r="N125" s="357"/>
      <c r="O125" s="357"/>
      <c r="P125" s="356"/>
    </row>
    <row r="126" spans="1:16">
      <c r="B126" s="4" t="s">
        <v>1</v>
      </c>
    </row>
    <row r="127" spans="1:16">
      <c r="F127" s="3">
        <f t="shared" ref="F127:O127" si="68">F79</f>
        <v>44592</v>
      </c>
      <c r="G127" s="3">
        <f t="shared" si="68"/>
        <v>44957</v>
      </c>
      <c r="H127" s="3">
        <f t="shared" si="68"/>
        <v>45322</v>
      </c>
      <c r="I127" s="3">
        <f t="shared" si="68"/>
        <v>45688</v>
      </c>
      <c r="J127" s="3">
        <f t="shared" si="68"/>
        <v>46053</v>
      </c>
      <c r="K127" s="2">
        <f t="shared" si="68"/>
        <v>46418</v>
      </c>
      <c r="L127" s="2">
        <f t="shared" si="68"/>
        <v>46783</v>
      </c>
      <c r="M127" s="2">
        <f t="shared" si="68"/>
        <v>47149</v>
      </c>
      <c r="N127" s="2">
        <f t="shared" si="68"/>
        <v>47514</v>
      </c>
      <c r="O127" s="2">
        <f t="shared" si="68"/>
        <v>47879</v>
      </c>
      <c r="P127" s="1" t="s">
        <v>0</v>
      </c>
    </row>
    <row r="129" spans="2:18">
      <c r="K129" s="25">
        <f>'Drivers, Inputs and Outputs'!J4</f>
        <v>0.05</v>
      </c>
      <c r="L129" s="25">
        <f>'Drivers, Inputs and Outputs'!K4</f>
        <v>5.2499999999999998E-2</v>
      </c>
      <c r="M129" s="25">
        <f>'Drivers, Inputs and Outputs'!L4</f>
        <v>5.2499999999999998E-2</v>
      </c>
      <c r="N129" s="25">
        <f>'Drivers, Inputs and Outputs'!M4</f>
        <v>5.5E-2</v>
      </c>
      <c r="O129" s="25">
        <f>'Drivers, Inputs and Outputs'!N4</f>
        <v>5.7500000000000002E-2</v>
      </c>
      <c r="P129" s="25">
        <f>'Drivers, Inputs and Outputs'!O4</f>
        <v>0.06</v>
      </c>
      <c r="R129" s="180" t="s">
        <v>364</v>
      </c>
    </row>
    <row r="130" spans="2:18">
      <c r="B130" t="s">
        <v>213</v>
      </c>
      <c r="K130" s="25"/>
      <c r="L130" s="25"/>
      <c r="M130" s="25"/>
      <c r="N130" s="25"/>
      <c r="O130" s="25"/>
      <c r="P130" s="25"/>
      <c r="R130" s="180" t="s">
        <v>365</v>
      </c>
    </row>
    <row r="131" spans="2:18">
      <c r="B131" s="7" t="s">
        <v>214</v>
      </c>
      <c r="F131" s="178"/>
      <c r="G131" s="178">
        <f>G147/F147-1</f>
        <v>0.1295080020461854</v>
      </c>
      <c r="H131" s="178">
        <f t="shared" ref="H131:J131" si="69">H147/G147-1</f>
        <v>6.8382807856077088E-2</v>
      </c>
      <c r="I131" s="178">
        <f t="shared" si="69"/>
        <v>4.4634949472010854E-2</v>
      </c>
      <c r="J131" s="178">
        <f t="shared" si="69"/>
        <v>3.4343829596055198E-2</v>
      </c>
      <c r="K131" s="25">
        <f>K129</f>
        <v>0.05</v>
      </c>
      <c r="L131" s="25">
        <f t="shared" ref="L131:P131" si="70">L129</f>
        <v>5.2499999999999998E-2</v>
      </c>
      <c r="M131" s="25">
        <f t="shared" si="70"/>
        <v>5.2499999999999998E-2</v>
      </c>
      <c r="N131" s="25">
        <f t="shared" si="70"/>
        <v>5.5E-2</v>
      </c>
      <c r="O131" s="25">
        <f t="shared" si="70"/>
        <v>5.7500000000000002E-2</v>
      </c>
      <c r="P131" s="25">
        <f t="shared" si="70"/>
        <v>0.06</v>
      </c>
      <c r="R131" s="180" t="s">
        <v>366</v>
      </c>
    </row>
    <row r="132" spans="2:18">
      <c r="B132" s="7" t="s">
        <v>215</v>
      </c>
      <c r="F132" s="178"/>
      <c r="G132" s="178">
        <f t="shared" ref="G132:J132" si="71">G148/F148-1</f>
        <v>-5.7826750135053562E-2</v>
      </c>
      <c r="H132" s="178">
        <f t="shared" si="71"/>
        <v>-3.8887998853259331E-2</v>
      </c>
      <c r="I132" s="178">
        <f t="shared" si="71"/>
        <v>-5.6147738737555297E-4</v>
      </c>
      <c r="J132" s="178">
        <f t="shared" si="71"/>
        <v>9.9981566173050762E-3</v>
      </c>
      <c r="K132" s="25">
        <f>K129+2%</f>
        <v>7.0000000000000007E-2</v>
      </c>
      <c r="L132" s="25">
        <f t="shared" ref="L132:P132" si="72">L129+2%</f>
        <v>7.2499999999999995E-2</v>
      </c>
      <c r="M132" s="25">
        <f t="shared" si="72"/>
        <v>7.2499999999999995E-2</v>
      </c>
      <c r="N132" s="25">
        <f t="shared" si="72"/>
        <v>7.4999999999999997E-2</v>
      </c>
      <c r="O132" s="25">
        <f t="shared" si="72"/>
        <v>7.7499999999999999E-2</v>
      </c>
      <c r="P132" s="25">
        <f t="shared" si="72"/>
        <v>0.08</v>
      </c>
      <c r="R132" s="180" t="s">
        <v>367</v>
      </c>
    </row>
    <row r="133" spans="2:18">
      <c r="B133" s="7" t="s">
        <v>216</v>
      </c>
      <c r="F133" s="178"/>
      <c r="G133" s="178">
        <f t="shared" ref="G133:J133" si="73">G149/F149-1</f>
        <v>8.7583743784868995E-2</v>
      </c>
      <c r="H133" s="178">
        <f t="shared" si="73"/>
        <v>0.17829623747075618</v>
      </c>
      <c r="I133" s="178">
        <f t="shared" si="73"/>
        <v>0.13104302524682132</v>
      </c>
      <c r="J133" s="178">
        <f t="shared" si="73"/>
        <v>0.12006377633189458</v>
      </c>
      <c r="K133" s="25">
        <f>K129-2.5%</f>
        <v>2.5000000000000001E-2</v>
      </c>
      <c r="L133" s="25">
        <f t="shared" ref="L133:P133" si="74">L129-2.5%</f>
        <v>2.7499999999999997E-2</v>
      </c>
      <c r="M133" s="25">
        <f t="shared" si="74"/>
        <v>2.7499999999999997E-2</v>
      </c>
      <c r="N133" s="25">
        <f t="shared" si="74"/>
        <v>0.03</v>
      </c>
      <c r="O133" s="25">
        <f t="shared" si="74"/>
        <v>3.2500000000000001E-2</v>
      </c>
      <c r="P133" s="25">
        <f t="shared" si="74"/>
        <v>3.4999999999999996E-2</v>
      </c>
      <c r="R133" s="180" t="s">
        <v>368</v>
      </c>
    </row>
    <row r="134" spans="2:18">
      <c r="B134" s="7" t="s">
        <v>116</v>
      </c>
      <c r="F134" s="178"/>
      <c r="G134" s="178">
        <f t="shared" ref="G134:J134" si="75">G150/F150-1</f>
        <v>0.44345025053686471</v>
      </c>
      <c r="H134" s="178">
        <f t="shared" si="75"/>
        <v>8.1576989833870517E-2</v>
      </c>
      <c r="I134" s="178">
        <f t="shared" si="75"/>
        <v>0.19199908298945445</v>
      </c>
      <c r="J134" s="178">
        <f t="shared" si="75"/>
        <v>0.23915761130877966</v>
      </c>
      <c r="K134" s="25">
        <f>K129+0.5%</f>
        <v>5.5E-2</v>
      </c>
      <c r="L134" s="25">
        <f t="shared" ref="L134:P134" si="76">L129+0.5%</f>
        <v>5.7499999999999996E-2</v>
      </c>
      <c r="M134" s="25">
        <f t="shared" si="76"/>
        <v>5.7499999999999996E-2</v>
      </c>
      <c r="N134" s="25">
        <f t="shared" si="76"/>
        <v>0.06</v>
      </c>
      <c r="O134" s="25">
        <f t="shared" si="76"/>
        <v>6.25E-2</v>
      </c>
      <c r="P134" s="25">
        <f t="shared" si="76"/>
        <v>6.5000000000000002E-2</v>
      </c>
      <c r="R134" s="180" t="s">
        <v>369</v>
      </c>
    </row>
    <row r="135" spans="2:18">
      <c r="F135" s="178"/>
      <c r="G135" s="178"/>
      <c r="H135" s="178"/>
      <c r="I135" s="178"/>
      <c r="J135" s="178"/>
      <c r="K135" s="25"/>
      <c r="L135" s="25"/>
      <c r="M135" s="25"/>
      <c r="N135" s="25"/>
      <c r="O135" s="25"/>
      <c r="P135" s="25"/>
    </row>
    <row r="136" spans="2:18">
      <c r="B136" t="s">
        <v>217</v>
      </c>
      <c r="F136" s="178"/>
      <c r="G136" s="178"/>
      <c r="H136" s="178"/>
      <c r="I136" s="178"/>
      <c r="J136" s="178"/>
      <c r="L136" s="25"/>
      <c r="M136" s="25"/>
      <c r="N136" s="25"/>
      <c r="O136" s="25"/>
      <c r="P136" s="25"/>
    </row>
    <row r="137" spans="2:18">
      <c r="B137" s="7" t="s">
        <v>214</v>
      </c>
      <c r="F137" s="178"/>
      <c r="G137" s="178">
        <f>G156/F156-1</f>
        <v>0.13312118235017723</v>
      </c>
      <c r="H137" s="178">
        <f t="shared" ref="H137:J137" si="77">H156/G156-1</f>
        <v>6.408444067477137E-2</v>
      </c>
      <c r="I137" s="178">
        <f t="shared" si="77"/>
        <v>6.2368257904525715E-2</v>
      </c>
      <c r="J137" s="178">
        <f t="shared" si="77"/>
        <v>7.8864879285047262E-2</v>
      </c>
      <c r="K137" s="25">
        <f>K131</f>
        <v>0.05</v>
      </c>
      <c r="L137" s="25">
        <f t="shared" ref="L137:P137" si="78">L131</f>
        <v>5.2499999999999998E-2</v>
      </c>
      <c r="M137" s="25">
        <f t="shared" si="78"/>
        <v>5.2499999999999998E-2</v>
      </c>
      <c r="N137" s="25">
        <f t="shared" si="78"/>
        <v>5.5E-2</v>
      </c>
      <c r="O137" s="25">
        <f t="shared" si="78"/>
        <v>5.7500000000000002E-2</v>
      </c>
      <c r="P137" s="25">
        <f t="shared" si="78"/>
        <v>0.06</v>
      </c>
      <c r="R137" s="180" t="s">
        <v>370</v>
      </c>
    </row>
    <row r="138" spans="2:18">
      <c r="B138" s="7" t="s">
        <v>215</v>
      </c>
      <c r="F138" s="178"/>
      <c r="G138" s="178">
        <f t="shared" ref="G138:J138" si="79">G157/F157-1</f>
        <v>0.31036538625330046</v>
      </c>
      <c r="H138" s="178">
        <f t="shared" si="79"/>
        <v>-0.11095222619434519</v>
      </c>
      <c r="I138" s="178">
        <f t="shared" si="79"/>
        <v>-5.5125018277525917E-2</v>
      </c>
      <c r="J138" s="178">
        <f t="shared" si="79"/>
        <v>-0.1047663262147942</v>
      </c>
      <c r="K138" s="25">
        <f>K132</f>
        <v>7.0000000000000007E-2</v>
      </c>
      <c r="L138" s="25">
        <f t="shared" ref="L138:P138" si="80">L132</f>
        <v>7.2499999999999995E-2</v>
      </c>
      <c r="M138" s="25">
        <f t="shared" si="80"/>
        <v>7.2499999999999995E-2</v>
      </c>
      <c r="N138" s="25">
        <f t="shared" si="80"/>
        <v>7.4999999999999997E-2</v>
      </c>
      <c r="O138" s="25">
        <f t="shared" si="80"/>
        <v>7.7499999999999999E-2</v>
      </c>
      <c r="P138" s="25">
        <f t="shared" si="80"/>
        <v>0.08</v>
      </c>
      <c r="R138" s="180" t="s">
        <v>367</v>
      </c>
    </row>
    <row r="139" spans="2:18">
      <c r="B139" s="7" t="s">
        <v>216</v>
      </c>
      <c r="F139" s="178"/>
      <c r="G139" s="178">
        <f t="shared" ref="G139:J139" si="81">G158/F158-1</f>
        <v>5.7261937120594464E-2</v>
      </c>
      <c r="H139" s="178">
        <f t="shared" si="81"/>
        <v>-5.381780786699808E-2</v>
      </c>
      <c r="I139" s="178">
        <f t="shared" si="81"/>
        <v>1.8838873290462743E-2</v>
      </c>
      <c r="J139" s="178">
        <f t="shared" si="81"/>
        <v>2.6669037247755378E-2</v>
      </c>
      <c r="K139" s="25">
        <f>K129-1.5%</f>
        <v>3.5000000000000003E-2</v>
      </c>
      <c r="L139" s="25">
        <f t="shared" ref="L139:P139" si="82">L129-1.5%</f>
        <v>3.7499999999999999E-2</v>
      </c>
      <c r="M139" s="25">
        <f t="shared" si="82"/>
        <v>3.7499999999999999E-2</v>
      </c>
      <c r="N139" s="25">
        <f t="shared" si="82"/>
        <v>0.04</v>
      </c>
      <c r="O139" s="25">
        <f t="shared" si="82"/>
        <v>4.2500000000000003E-2</v>
      </c>
      <c r="P139" s="25">
        <f t="shared" si="82"/>
        <v>4.4999999999999998E-2</v>
      </c>
      <c r="R139" s="180" t="s">
        <v>368</v>
      </c>
    </row>
    <row r="140" spans="2:18">
      <c r="B140" s="7" t="s">
        <v>223</v>
      </c>
      <c r="G140" s="178">
        <f t="shared" ref="G140:J140" si="83">G159/F159-1</f>
        <v>7.0778564206269046E-2</v>
      </c>
      <c r="H140" s="178">
        <f t="shared" si="83"/>
        <v>0.18153918791312562</v>
      </c>
      <c r="I140" s="178">
        <f t="shared" si="83"/>
        <v>0.21658341658341662</v>
      </c>
      <c r="J140" s="178">
        <f t="shared" si="83"/>
        <v>-0.14764329118081787</v>
      </c>
      <c r="K140" s="25">
        <f>K129+0.25%</f>
        <v>5.2500000000000005E-2</v>
      </c>
      <c r="L140" s="25">
        <f t="shared" ref="L140:P140" si="84">L129+0.25%</f>
        <v>5.5E-2</v>
      </c>
      <c r="M140" s="25">
        <f t="shared" si="84"/>
        <v>5.5E-2</v>
      </c>
      <c r="N140" s="25">
        <f t="shared" si="84"/>
        <v>5.7500000000000002E-2</v>
      </c>
      <c r="O140" s="25">
        <f t="shared" si="84"/>
        <v>6.0000000000000005E-2</v>
      </c>
      <c r="P140" s="25">
        <f t="shared" si="84"/>
        <v>6.25E-2</v>
      </c>
      <c r="R140" s="180" t="s">
        <v>369</v>
      </c>
    </row>
    <row r="141" spans="2:18">
      <c r="K141" s="25"/>
      <c r="L141" s="25"/>
      <c r="M141" s="25"/>
      <c r="N141" s="25"/>
      <c r="O141" s="25"/>
      <c r="P141" s="25"/>
    </row>
    <row r="142" spans="2:18">
      <c r="B142" t="s">
        <v>218</v>
      </c>
      <c r="G142" s="178">
        <f>G153/F153-1</f>
        <v>2.3772026268087387E-4</v>
      </c>
      <c r="H142" s="178">
        <f t="shared" ref="H142:J142" si="85">H153/G153-1</f>
        <v>0.13525048770585157</v>
      </c>
      <c r="I142" s="178">
        <f t="shared" si="85"/>
        <v>6.318856255615346E-2</v>
      </c>
      <c r="J142" s="178">
        <f t="shared" si="85"/>
        <v>7.0049636952865368E-2</v>
      </c>
      <c r="K142" s="25">
        <f>K131+0.25%</f>
        <v>5.2500000000000005E-2</v>
      </c>
      <c r="L142" s="25">
        <v>5.5E-2</v>
      </c>
      <c r="M142" s="25">
        <v>5.5E-2</v>
      </c>
      <c r="N142" s="25">
        <v>5.7500000000000002E-2</v>
      </c>
      <c r="O142" s="25">
        <v>6.0000000000000005E-2</v>
      </c>
      <c r="P142" s="25">
        <v>6.25E-2</v>
      </c>
      <c r="R142" s="180" t="s">
        <v>369</v>
      </c>
    </row>
    <row r="143" spans="2:18">
      <c r="B143" t="s">
        <v>92</v>
      </c>
      <c r="G143" s="178">
        <f>G163/F163-1</f>
        <v>8.3333333333333259E-2</v>
      </c>
      <c r="H143" s="178">
        <f t="shared" ref="H143:J143" si="86">H163/G163-1</f>
        <v>1.4792899408283988E-2</v>
      </c>
      <c r="I143" s="178">
        <f t="shared" si="86"/>
        <v>0.17474489795918369</v>
      </c>
      <c r="J143" s="178">
        <f t="shared" si="86"/>
        <v>4.6998604001861288E-2</v>
      </c>
      <c r="K143" s="25">
        <f>K131+0.25%</f>
        <v>5.2500000000000005E-2</v>
      </c>
      <c r="L143" s="25">
        <f t="shared" ref="L143:P143" si="87">L131+0.25%</f>
        <v>5.5E-2</v>
      </c>
      <c r="M143" s="25">
        <f t="shared" si="87"/>
        <v>5.5E-2</v>
      </c>
      <c r="N143" s="25">
        <f t="shared" si="87"/>
        <v>5.7500000000000002E-2</v>
      </c>
      <c r="O143" s="25">
        <f t="shared" si="87"/>
        <v>6.0000000000000005E-2</v>
      </c>
      <c r="P143" s="25">
        <f t="shared" si="87"/>
        <v>6.25E-2</v>
      </c>
      <c r="R143" s="180" t="s">
        <v>369</v>
      </c>
    </row>
    <row r="145" spans="2:18">
      <c r="B145" s="130"/>
      <c r="C145" s="130"/>
      <c r="D145" s="130"/>
      <c r="E145" s="130"/>
      <c r="F145" s="130"/>
      <c r="G145" s="130"/>
      <c r="H145" s="130"/>
      <c r="I145" s="130"/>
      <c r="J145" s="130"/>
      <c r="K145" s="130"/>
      <c r="L145" s="130"/>
      <c r="M145" s="130"/>
      <c r="N145" s="130"/>
      <c r="O145" s="130"/>
      <c r="P145" s="130"/>
    </row>
    <row r="146" spans="2:18">
      <c r="B146" t="s">
        <v>219</v>
      </c>
    </row>
    <row r="147" spans="2:18">
      <c r="B147" s="7" t="s">
        <v>214</v>
      </c>
      <c r="F147" s="6">
        <v>218944</v>
      </c>
      <c r="G147" s="6">
        <v>247299</v>
      </c>
      <c r="H147" s="6">
        <v>264210</v>
      </c>
      <c r="I147" s="6">
        <v>276003</v>
      </c>
      <c r="J147" s="6">
        <v>285482</v>
      </c>
      <c r="K147" s="14">
        <f>J147*(1+K131)</f>
        <v>299756.10000000003</v>
      </c>
      <c r="L147" s="14">
        <f t="shared" ref="L147:P147" si="88">K147*(1+L131)</f>
        <v>315493.29525000002</v>
      </c>
      <c r="M147" s="14">
        <f t="shared" si="88"/>
        <v>332056.69325062505</v>
      </c>
      <c r="N147" s="14">
        <f t="shared" si="88"/>
        <v>350319.8113794094</v>
      </c>
      <c r="O147" s="14">
        <f t="shared" si="88"/>
        <v>370463.2005337255</v>
      </c>
      <c r="P147" s="14">
        <f t="shared" si="88"/>
        <v>392690.99256574904</v>
      </c>
    </row>
    <row r="148" spans="2:18">
      <c r="B148" s="7" t="s">
        <v>215</v>
      </c>
      <c r="F148" s="6">
        <v>125876</v>
      </c>
      <c r="G148" s="6">
        <v>118597</v>
      </c>
      <c r="H148" s="6">
        <v>113985</v>
      </c>
      <c r="I148" s="6">
        <v>113921</v>
      </c>
      <c r="J148" s="6">
        <v>115060</v>
      </c>
      <c r="K148" s="14">
        <f t="shared" ref="K148:P148" si="89">J148*(1+K132)</f>
        <v>123114.20000000001</v>
      </c>
      <c r="L148" s="14">
        <f t="shared" si="89"/>
        <v>132039.97950000002</v>
      </c>
      <c r="M148" s="14">
        <f t="shared" si="89"/>
        <v>141612.87801375001</v>
      </c>
      <c r="N148" s="14">
        <f t="shared" si="89"/>
        <v>152233.84386478126</v>
      </c>
      <c r="O148" s="14">
        <f t="shared" si="89"/>
        <v>164031.96676430179</v>
      </c>
      <c r="P148" s="14">
        <f t="shared" si="89"/>
        <v>177154.52410544595</v>
      </c>
    </row>
    <row r="149" spans="2:18">
      <c r="B149" s="7" t="s">
        <v>216</v>
      </c>
      <c r="F149" s="6">
        <v>42839</v>
      </c>
      <c r="G149" s="6">
        <v>46591</v>
      </c>
      <c r="H149" s="6">
        <v>54898</v>
      </c>
      <c r="I149" s="6">
        <v>62092</v>
      </c>
      <c r="J149" s="6">
        <v>69547</v>
      </c>
      <c r="K149" s="14">
        <f t="shared" ref="K149:P149" si="90">J149*(1+K133)</f>
        <v>71285.674999999988</v>
      </c>
      <c r="L149" s="14">
        <f t="shared" si="90"/>
        <v>73246.031062499998</v>
      </c>
      <c r="M149" s="14">
        <f t="shared" si="90"/>
        <v>75260.296916718755</v>
      </c>
      <c r="N149" s="14">
        <f t="shared" si="90"/>
        <v>77518.105824220314</v>
      </c>
      <c r="O149" s="14">
        <f t="shared" si="90"/>
        <v>80037.444263507467</v>
      </c>
      <c r="P149" s="14">
        <f t="shared" si="90"/>
        <v>82838.754812730214</v>
      </c>
    </row>
    <row r="150" spans="2:18">
      <c r="B150" s="7" t="s">
        <v>116</v>
      </c>
      <c r="F150" s="6">
        <v>5588</v>
      </c>
      <c r="G150" s="6">
        <v>8066</v>
      </c>
      <c r="H150" s="6">
        <v>8724</v>
      </c>
      <c r="I150" s="6">
        <v>10399</v>
      </c>
      <c r="J150" s="6">
        <v>12886</v>
      </c>
      <c r="K150" s="14">
        <f t="shared" ref="K150:P150" si="91">J150*(1+K134)</f>
        <v>13594.73</v>
      </c>
      <c r="L150" s="14">
        <f t="shared" si="91"/>
        <v>14376.426975</v>
      </c>
      <c r="M150" s="14">
        <f t="shared" si="91"/>
        <v>15203.071526062502</v>
      </c>
      <c r="N150" s="14">
        <f t="shared" si="91"/>
        <v>16115.255817626254</v>
      </c>
      <c r="O150" s="14">
        <f t="shared" si="91"/>
        <v>17122.459306227895</v>
      </c>
      <c r="P150" s="14">
        <f t="shared" si="91"/>
        <v>18235.419161132708</v>
      </c>
    </row>
    <row r="151" spans="2:18">
      <c r="B151" s="5" t="s">
        <v>220</v>
      </c>
      <c r="C151" s="5"/>
      <c r="D151" s="5"/>
      <c r="E151" s="5"/>
      <c r="F151" s="13">
        <f>SUM(F147:F150)</f>
        <v>393247</v>
      </c>
      <c r="G151" s="13">
        <f t="shared" ref="G151:J151" si="92">SUM(G147:G150)</f>
        <v>420553</v>
      </c>
      <c r="H151" s="13">
        <f t="shared" si="92"/>
        <v>441817</v>
      </c>
      <c r="I151" s="13">
        <f t="shared" si="92"/>
        <v>462415</v>
      </c>
      <c r="J151" s="13">
        <f t="shared" si="92"/>
        <v>482975</v>
      </c>
      <c r="K151" s="13">
        <f>SUM(K147:K150)</f>
        <v>507750.70500000002</v>
      </c>
      <c r="L151" s="13">
        <f t="shared" ref="L151:P151" si="93">SUM(L147:L150)</f>
        <v>535155.73278750002</v>
      </c>
      <c r="M151" s="13">
        <f t="shared" si="93"/>
        <v>564132.93970715639</v>
      </c>
      <c r="N151" s="13">
        <f t="shared" si="93"/>
        <v>596187.01688603719</v>
      </c>
      <c r="O151" s="13">
        <f t="shared" si="93"/>
        <v>631655.07086776267</v>
      </c>
      <c r="P151" s="13">
        <f t="shared" si="93"/>
        <v>670919.69064505782</v>
      </c>
    </row>
    <row r="152" spans="2:18">
      <c r="K152" s="14"/>
      <c r="L152" s="14"/>
      <c r="M152" s="14"/>
      <c r="N152" s="14"/>
      <c r="O152" s="14"/>
      <c r="P152" s="14"/>
    </row>
    <row r="153" spans="2:18">
      <c r="B153" s="5" t="s">
        <v>221</v>
      </c>
      <c r="C153" s="5"/>
      <c r="D153" s="5"/>
      <c r="E153" s="5"/>
      <c r="F153" s="183">
        <v>100959</v>
      </c>
      <c r="G153" s="183">
        <v>100983</v>
      </c>
      <c r="H153" s="183">
        <v>114641</v>
      </c>
      <c r="I153" s="183">
        <v>121885</v>
      </c>
      <c r="J153" s="183">
        <v>130423</v>
      </c>
      <c r="K153" s="13">
        <f>J153*(1+K142)</f>
        <v>137270.20749999999</v>
      </c>
      <c r="L153" s="13">
        <f t="shared" ref="L153:P153" si="94">K153*(1+L142)</f>
        <v>144820.06891249999</v>
      </c>
      <c r="M153" s="13">
        <f t="shared" si="94"/>
        <v>152785.17270268747</v>
      </c>
      <c r="N153" s="13">
        <f t="shared" si="94"/>
        <v>161570.32013309203</v>
      </c>
      <c r="O153" s="13">
        <f t="shared" si="94"/>
        <v>171264.53934107756</v>
      </c>
      <c r="P153" s="13">
        <f t="shared" si="94"/>
        <v>181968.57304989491</v>
      </c>
      <c r="R153" s="181"/>
    </row>
    <row r="154" spans="2:18">
      <c r="K154" s="14"/>
      <c r="L154" s="14"/>
      <c r="M154" s="14"/>
      <c r="N154" s="14"/>
      <c r="O154" s="14"/>
      <c r="P154" s="14"/>
      <c r="R154" s="181"/>
    </row>
    <row r="155" spans="2:18">
      <c r="B155" t="s">
        <v>222</v>
      </c>
      <c r="K155" s="14"/>
      <c r="L155" s="14"/>
      <c r="M155" s="14"/>
      <c r="N155" s="14"/>
      <c r="O155" s="14"/>
      <c r="P155" s="14"/>
      <c r="R155" s="181"/>
    </row>
    <row r="156" spans="2:18">
      <c r="B156" s="7" t="s">
        <v>214</v>
      </c>
      <c r="F156" s="6">
        <v>46822</v>
      </c>
      <c r="G156" s="6">
        <v>53055</v>
      </c>
      <c r="H156" s="6">
        <v>56455</v>
      </c>
      <c r="I156" s="6">
        <v>59976</v>
      </c>
      <c r="J156" s="6">
        <v>64706</v>
      </c>
      <c r="K156" s="14">
        <f>J156*(1+K137)</f>
        <v>67941.3</v>
      </c>
      <c r="L156" s="14">
        <f t="shared" ref="L156:P156" si="95">K156*(1+L137)</f>
        <v>71508.218250000005</v>
      </c>
      <c r="M156" s="14">
        <f t="shared" si="95"/>
        <v>75262.399708124998</v>
      </c>
      <c r="N156" s="14">
        <f t="shared" si="95"/>
        <v>79401.831692071864</v>
      </c>
      <c r="O156" s="14">
        <f t="shared" si="95"/>
        <v>83967.437014366005</v>
      </c>
      <c r="P156" s="14">
        <f t="shared" si="95"/>
        <v>89005.483235227977</v>
      </c>
      <c r="R156" s="181"/>
    </row>
    <row r="157" spans="2:18">
      <c r="B157" s="7" t="s">
        <v>215</v>
      </c>
      <c r="F157" s="6">
        <f>10751+990</f>
        <v>11741</v>
      </c>
      <c r="G157" s="6">
        <v>15385</v>
      </c>
      <c r="H157" s="6">
        <v>13678</v>
      </c>
      <c r="I157" s="6">
        <v>12924</v>
      </c>
      <c r="J157" s="6">
        <v>11570</v>
      </c>
      <c r="K157" s="14">
        <f t="shared" ref="K157:P157" si="96">J157*(1+K138)</f>
        <v>12379.900000000001</v>
      </c>
      <c r="L157" s="14">
        <f t="shared" si="96"/>
        <v>13277.442750000002</v>
      </c>
      <c r="M157" s="14">
        <f t="shared" si="96"/>
        <v>14240.057349375002</v>
      </c>
      <c r="N157" s="14">
        <f t="shared" si="96"/>
        <v>15308.061650578125</v>
      </c>
      <c r="O157" s="14">
        <f t="shared" si="96"/>
        <v>16494.436428497927</v>
      </c>
      <c r="P157" s="14">
        <f t="shared" si="96"/>
        <v>17813.991342777761</v>
      </c>
      <c r="R157" s="181"/>
    </row>
    <row r="158" spans="2:18">
      <c r="B158" s="7" t="s">
        <v>216</v>
      </c>
      <c r="F158" s="6">
        <f>9037+2000</f>
        <v>11037</v>
      </c>
      <c r="G158" s="6">
        <v>11669</v>
      </c>
      <c r="H158" s="6">
        <v>11041</v>
      </c>
      <c r="I158" s="6">
        <v>11249</v>
      </c>
      <c r="J158" s="6">
        <v>11549</v>
      </c>
      <c r="K158" s="14">
        <f t="shared" ref="K158:P158" si="97">J158*(1+K139)</f>
        <v>11953.214999999998</v>
      </c>
      <c r="L158" s="14">
        <f t="shared" si="97"/>
        <v>12401.460562499999</v>
      </c>
      <c r="M158" s="14">
        <f t="shared" si="97"/>
        <v>12866.51533359375</v>
      </c>
      <c r="N158" s="14">
        <f t="shared" si="97"/>
        <v>13381.175946937501</v>
      </c>
      <c r="O158" s="14">
        <f t="shared" si="97"/>
        <v>13949.875924682345</v>
      </c>
      <c r="P158" s="14">
        <f t="shared" si="97"/>
        <v>14577.62034129305</v>
      </c>
      <c r="R158" s="181"/>
    </row>
    <row r="159" spans="2:18">
      <c r="B159" s="7" t="s">
        <v>223</v>
      </c>
      <c r="F159" s="6">
        <v>3956</v>
      </c>
      <c r="G159" s="6">
        <v>4236</v>
      </c>
      <c r="H159" s="6">
        <v>5005</v>
      </c>
      <c r="I159" s="6">
        <v>6089</v>
      </c>
      <c r="J159" s="6">
        <v>5190</v>
      </c>
      <c r="K159" s="14">
        <f t="shared" ref="K159:P159" si="98">J159*(1+K140)</f>
        <v>5462.4750000000004</v>
      </c>
      <c r="L159" s="14">
        <f t="shared" si="98"/>
        <v>5762.9111249999996</v>
      </c>
      <c r="M159" s="14">
        <f t="shared" si="98"/>
        <v>6079.8712368749993</v>
      </c>
      <c r="N159" s="14">
        <f t="shared" si="98"/>
        <v>6429.4638329953123</v>
      </c>
      <c r="O159" s="14">
        <f t="shared" si="98"/>
        <v>6815.2316629750312</v>
      </c>
      <c r="P159" s="14">
        <f t="shared" si="98"/>
        <v>7241.1836419109704</v>
      </c>
    </row>
    <row r="160" spans="2:18">
      <c r="B160" s="5" t="s">
        <v>224</v>
      </c>
      <c r="C160" s="5"/>
      <c r="D160" s="5"/>
      <c r="E160" s="5"/>
      <c r="F160" s="13">
        <f>SUM(F156:F159)</f>
        <v>73556</v>
      </c>
      <c r="G160" s="13">
        <f t="shared" ref="G160:J160" si="99">SUM(G156:G159)</f>
        <v>84345</v>
      </c>
      <c r="H160" s="13">
        <f t="shared" si="99"/>
        <v>86179</v>
      </c>
      <c r="I160" s="13">
        <f t="shared" si="99"/>
        <v>90238</v>
      </c>
      <c r="J160" s="13">
        <f t="shared" si="99"/>
        <v>93015</v>
      </c>
      <c r="K160" s="13">
        <f>SUM(K156:K159)</f>
        <v>97736.890000000014</v>
      </c>
      <c r="L160" s="13">
        <f t="shared" ref="L160:P160" si="100">SUM(L156:L159)</f>
        <v>102950.0326875</v>
      </c>
      <c r="M160" s="13">
        <f t="shared" si="100"/>
        <v>108448.84362796874</v>
      </c>
      <c r="N160" s="13">
        <f t="shared" si="100"/>
        <v>114520.5331225828</v>
      </c>
      <c r="O160" s="13">
        <f t="shared" si="100"/>
        <v>121226.9810305213</v>
      </c>
      <c r="P160" s="13">
        <f t="shared" si="100"/>
        <v>128638.27856120977</v>
      </c>
    </row>
    <row r="161" spans="1:16">
      <c r="K161" s="14"/>
      <c r="L161" s="14"/>
      <c r="M161" s="14"/>
      <c r="N161" s="14"/>
      <c r="O161" s="14"/>
      <c r="P161" s="14"/>
    </row>
    <row r="162" spans="1:16">
      <c r="B162" s="7" t="s">
        <v>225</v>
      </c>
      <c r="F162" s="14">
        <f t="shared" ref="F162:H162" si="101">F151+F153+F160</f>
        <v>567762</v>
      </c>
      <c r="G162" s="14">
        <f t="shared" si="101"/>
        <v>605881</v>
      </c>
      <c r="H162" s="14">
        <f t="shared" si="101"/>
        <v>642637</v>
      </c>
      <c r="I162" s="14">
        <f>I151+I153+I160</f>
        <v>674538</v>
      </c>
      <c r="J162" s="14">
        <f>J151+J153+J160</f>
        <v>706413</v>
      </c>
      <c r="K162" s="14">
        <f t="shared" ref="K162:P162" si="102">K151+K153+K160</f>
        <v>742757.80249999999</v>
      </c>
      <c r="L162" s="14">
        <f t="shared" si="102"/>
        <v>782925.83438749996</v>
      </c>
      <c r="M162" s="14">
        <f t="shared" si="102"/>
        <v>825366.95603781263</v>
      </c>
      <c r="N162" s="14">
        <f t="shared" si="102"/>
        <v>872277.87014171202</v>
      </c>
      <c r="O162" s="14">
        <f t="shared" si="102"/>
        <v>924146.59123936156</v>
      </c>
      <c r="P162" s="14">
        <f t="shared" si="102"/>
        <v>981526.5422561625</v>
      </c>
    </row>
    <row r="163" spans="1:16">
      <c r="B163" s="7" t="s">
        <v>92</v>
      </c>
      <c r="F163" s="14">
        <f>F6</f>
        <v>4992</v>
      </c>
      <c r="G163" s="14">
        <f>G6</f>
        <v>5408</v>
      </c>
      <c r="H163" s="14">
        <f>H6</f>
        <v>5488</v>
      </c>
      <c r="I163" s="14">
        <f>I6</f>
        <v>6447</v>
      </c>
      <c r="J163" s="14">
        <f>J6</f>
        <v>6750</v>
      </c>
      <c r="K163" s="14">
        <f>J163*(1+K143)</f>
        <v>7104.375</v>
      </c>
      <c r="L163" s="14">
        <f t="shared" ref="L163:P163" si="103">K163*(1+L143)</f>
        <v>7495.1156249999995</v>
      </c>
      <c r="M163" s="14">
        <f t="shared" si="103"/>
        <v>7907.346984374999</v>
      </c>
      <c r="N163" s="14">
        <f t="shared" si="103"/>
        <v>8362.0194359765628</v>
      </c>
      <c r="O163" s="14">
        <f t="shared" si="103"/>
        <v>8863.7406021351562</v>
      </c>
      <c r="P163" s="14">
        <f t="shared" si="103"/>
        <v>9417.7243897686039</v>
      </c>
    </row>
    <row r="164" spans="1:16" ht="15.05" thickBot="1">
      <c r="B164" s="5" t="s">
        <v>91</v>
      </c>
      <c r="C164" s="5"/>
      <c r="D164" s="5"/>
      <c r="E164" s="5"/>
      <c r="F164" s="16">
        <f>SUM(F162:F163)</f>
        <v>572754</v>
      </c>
      <c r="G164" s="16">
        <f t="shared" ref="G164:J164" si="104">SUM(G162:G163)</f>
        <v>611289</v>
      </c>
      <c r="H164" s="16">
        <f t="shared" si="104"/>
        <v>648125</v>
      </c>
      <c r="I164" s="16">
        <f t="shared" si="104"/>
        <v>680985</v>
      </c>
      <c r="J164" s="16">
        <f t="shared" si="104"/>
        <v>713163</v>
      </c>
      <c r="K164" s="16">
        <f t="shared" ref="K164" si="105">SUM(K162:K163)</f>
        <v>749862.17749999999</v>
      </c>
      <c r="L164" s="16">
        <f t="shared" ref="L164" si="106">SUM(L162:L163)</f>
        <v>790420.95001249993</v>
      </c>
      <c r="M164" s="16">
        <f t="shared" ref="M164" si="107">SUM(M162:M163)</f>
        <v>833274.30302218767</v>
      </c>
      <c r="N164" s="16">
        <f t="shared" ref="N164" si="108">SUM(N162:N163)</f>
        <v>880639.88957768853</v>
      </c>
      <c r="O164" s="16">
        <f t="shared" ref="O164" si="109">SUM(O162:O163)</f>
        <v>933010.33184149675</v>
      </c>
      <c r="P164" s="16">
        <f t="shared" ref="P164" si="110">SUM(P162:P163)</f>
        <v>990944.26664593106</v>
      </c>
    </row>
    <row r="166" spans="1:16">
      <c r="B166" t="s">
        <v>226</v>
      </c>
      <c r="F166" s="14">
        <f>F164-F7</f>
        <v>0</v>
      </c>
      <c r="G166" s="14">
        <f>G164-G7</f>
        <v>0</v>
      </c>
      <c r="H166" s="14">
        <f>H164-H7</f>
        <v>0</v>
      </c>
      <c r="I166" s="14">
        <f>I164-I7</f>
        <v>0</v>
      </c>
      <c r="J166" s="14">
        <f>J164-J7</f>
        <v>0</v>
      </c>
    </row>
    <row r="167" spans="1:16">
      <c r="F167" s="14"/>
      <c r="G167" s="14"/>
      <c r="H167" s="14"/>
      <c r="I167" s="14"/>
      <c r="J167" s="14"/>
    </row>
    <row r="169" spans="1:16">
      <c r="A169" t="s">
        <v>95</v>
      </c>
      <c r="B169" s="356" t="s">
        <v>227</v>
      </c>
      <c r="C169" s="357"/>
      <c r="D169" s="357"/>
      <c r="E169" s="357"/>
      <c r="F169" s="357"/>
      <c r="G169" s="357"/>
      <c r="H169" s="357"/>
      <c r="I169" s="357"/>
      <c r="J169" s="357"/>
      <c r="K169" s="357"/>
      <c r="L169" s="357"/>
      <c r="M169" s="357"/>
      <c r="N169" s="357"/>
      <c r="O169" s="357"/>
      <c r="P169" s="356"/>
    </row>
    <row r="170" spans="1:16">
      <c r="B170" s="4" t="s">
        <v>1</v>
      </c>
    </row>
    <row r="171" spans="1:16">
      <c r="F171" s="3">
        <f>F127</f>
        <v>44592</v>
      </c>
      <c r="G171" s="3">
        <f t="shared" ref="G171:P171" si="111">G127</f>
        <v>44957</v>
      </c>
      <c r="H171" s="3">
        <f t="shared" si="111"/>
        <v>45322</v>
      </c>
      <c r="I171" s="3">
        <f t="shared" si="111"/>
        <v>45688</v>
      </c>
      <c r="J171" s="3">
        <f t="shared" si="111"/>
        <v>46053</v>
      </c>
      <c r="K171" s="2">
        <f t="shared" si="111"/>
        <v>46418</v>
      </c>
      <c r="L171" s="2">
        <f t="shared" si="111"/>
        <v>46783</v>
      </c>
      <c r="M171" s="2">
        <f t="shared" si="111"/>
        <v>47149</v>
      </c>
      <c r="N171" s="2">
        <f t="shared" si="111"/>
        <v>47514</v>
      </c>
      <c r="O171" s="2">
        <f t="shared" si="111"/>
        <v>47879</v>
      </c>
      <c r="P171" s="1" t="str">
        <f t="shared" si="111"/>
        <v>Term</v>
      </c>
    </row>
    <row r="173" spans="1:16">
      <c r="B173" t="s">
        <v>90</v>
      </c>
      <c r="F173" s="178">
        <f t="shared" ref="F173:H173" si="112">F177/F176</f>
        <v>-0.7490126651232466</v>
      </c>
      <c r="G173" s="178">
        <f t="shared" si="112"/>
        <v>-0.75859536160474017</v>
      </c>
      <c r="H173" s="178">
        <f t="shared" si="112"/>
        <v>-0.7562460945033751</v>
      </c>
      <c r="I173" s="178">
        <f>I177/I176</f>
        <v>-0.75148938669721066</v>
      </c>
      <c r="J173" s="178">
        <f t="shared" ref="J173" si="113">J177/J176</f>
        <v>-0.75073300213275229</v>
      </c>
      <c r="K173" s="25">
        <f>'Drivers, Inputs and Outputs'!J6</f>
        <v>0.75</v>
      </c>
      <c r="L173" s="25">
        <f>'Drivers, Inputs and Outputs'!K6</f>
        <v>0.74950000000000006</v>
      </c>
      <c r="M173" s="25">
        <f>'Drivers, Inputs and Outputs'!L6</f>
        <v>0.749</v>
      </c>
      <c r="N173" s="25">
        <f>'Drivers, Inputs and Outputs'!M6</f>
        <v>0.74850000000000005</v>
      </c>
      <c r="O173" s="25">
        <f>'Drivers, Inputs and Outputs'!N6</f>
        <v>0.748</v>
      </c>
      <c r="P173" s="25">
        <f>'Drivers, Inputs and Outputs'!O6</f>
        <v>0.74750000000000005</v>
      </c>
    </row>
    <row r="174" spans="1:16">
      <c r="B174" t="s">
        <v>89</v>
      </c>
      <c r="F174" s="178">
        <f t="shared" ref="F174:H174" si="114">F178/F176</f>
        <v>-0.20569389301515137</v>
      </c>
      <c r="G174" s="178">
        <f t="shared" si="114"/>
        <v>-0.20798672968105103</v>
      </c>
      <c r="H174" s="178">
        <f t="shared" si="114"/>
        <v>-0.20207675988428159</v>
      </c>
      <c r="I174" s="178">
        <f>I178/I176</f>
        <v>-0.20541421617216238</v>
      </c>
      <c r="J174" s="178">
        <f t="shared" ref="J174" si="115">J178/J176</f>
        <v>-0.20744626403781463</v>
      </c>
      <c r="K174" s="25">
        <f>'Drivers, Inputs and Outputs'!J8</f>
        <v>0.20499999999999999</v>
      </c>
      <c r="L174" s="25">
        <f>'Drivers, Inputs and Outputs'!K8</f>
        <v>0.20449999999999999</v>
      </c>
      <c r="M174" s="25">
        <f>'Drivers, Inputs and Outputs'!L8</f>
        <v>0.20399999999999999</v>
      </c>
      <c r="N174" s="25">
        <f>'Drivers, Inputs and Outputs'!M8</f>
        <v>0.20349999999999999</v>
      </c>
      <c r="O174" s="25">
        <f>'Drivers, Inputs and Outputs'!N8</f>
        <v>0.20300000000000001</v>
      </c>
      <c r="P174" s="25">
        <f>'Drivers, Inputs and Outputs'!O8</f>
        <v>0.20250000000000001</v>
      </c>
    </row>
    <row r="176" spans="1:16">
      <c r="B176" t="s">
        <v>91</v>
      </c>
      <c r="F176" s="14">
        <f t="shared" ref="F176:K176" si="116">F164</f>
        <v>572754</v>
      </c>
      <c r="G176" s="14">
        <f t="shared" si="116"/>
        <v>611289</v>
      </c>
      <c r="H176" s="14">
        <f t="shared" si="116"/>
        <v>648125</v>
      </c>
      <c r="I176" s="14">
        <f t="shared" si="116"/>
        <v>680985</v>
      </c>
      <c r="J176" s="14">
        <f t="shared" si="116"/>
        <v>713163</v>
      </c>
      <c r="K176" s="14">
        <f t="shared" si="116"/>
        <v>749862.17749999999</v>
      </c>
      <c r="L176" s="14">
        <f t="shared" ref="L176:P176" si="117">L164</f>
        <v>790420.95001249993</v>
      </c>
      <c r="M176" s="14">
        <f t="shared" si="117"/>
        <v>833274.30302218767</v>
      </c>
      <c r="N176" s="14">
        <f t="shared" si="117"/>
        <v>880639.88957768853</v>
      </c>
      <c r="O176" s="14">
        <f t="shared" si="117"/>
        <v>933010.33184149675</v>
      </c>
      <c r="P176" s="14">
        <f t="shared" si="117"/>
        <v>990944.26664593106</v>
      </c>
    </row>
    <row r="177" spans="1:16">
      <c r="B177" t="s">
        <v>90</v>
      </c>
      <c r="F177" s="14">
        <f t="shared" ref="F177:J178" si="118">F9</f>
        <v>-429000</v>
      </c>
      <c r="G177" s="14">
        <f t="shared" si="118"/>
        <v>-463721</v>
      </c>
      <c r="H177" s="14">
        <f t="shared" si="118"/>
        <v>-490142</v>
      </c>
      <c r="I177" s="14">
        <f t="shared" si="118"/>
        <v>-511753</v>
      </c>
      <c r="J177" s="14">
        <f t="shared" si="118"/>
        <v>-535395</v>
      </c>
      <c r="K177" s="14">
        <f>K176*K173</f>
        <v>562396.63312499993</v>
      </c>
      <c r="L177" s="14">
        <f t="shared" ref="L177:P177" si="119">L176*L173</f>
        <v>592420.50203436869</v>
      </c>
      <c r="M177" s="14">
        <f t="shared" si="119"/>
        <v>624122.45296361856</v>
      </c>
      <c r="N177" s="14">
        <f t="shared" si="119"/>
        <v>659158.95734889992</v>
      </c>
      <c r="O177" s="14">
        <f t="shared" si="119"/>
        <v>697891.72821743961</v>
      </c>
      <c r="P177" s="14">
        <f t="shared" si="119"/>
        <v>740730.83931783354</v>
      </c>
    </row>
    <row r="178" spans="1:16">
      <c r="B178" t="s">
        <v>89</v>
      </c>
      <c r="F178" s="14">
        <f t="shared" si="118"/>
        <v>-117812</v>
      </c>
      <c r="G178" s="14">
        <f t="shared" si="118"/>
        <v>-127140</v>
      </c>
      <c r="H178" s="14">
        <f t="shared" si="118"/>
        <v>-130971</v>
      </c>
      <c r="I178" s="14">
        <f t="shared" si="118"/>
        <v>-139884</v>
      </c>
      <c r="J178" s="14">
        <f t="shared" si="118"/>
        <v>-147943</v>
      </c>
      <c r="K178" s="14">
        <f>K176*K174</f>
        <v>153721.7463875</v>
      </c>
      <c r="L178" s="14">
        <f t="shared" ref="L178:P178" si="120">L176*L174</f>
        <v>161641.08427755622</v>
      </c>
      <c r="M178" s="14">
        <f t="shared" si="120"/>
        <v>169987.95781652626</v>
      </c>
      <c r="N178" s="14">
        <f t="shared" si="120"/>
        <v>179210.21752905959</v>
      </c>
      <c r="O178" s="14">
        <f t="shared" si="120"/>
        <v>189401.09736382385</v>
      </c>
      <c r="P178" s="14">
        <f t="shared" si="120"/>
        <v>200666.21399580105</v>
      </c>
    </row>
    <row r="180" spans="1:16">
      <c r="B180" s="130"/>
      <c r="C180" s="130"/>
      <c r="D180" s="130"/>
      <c r="E180" s="130"/>
      <c r="F180" s="130"/>
      <c r="G180" s="130"/>
      <c r="H180" s="130"/>
      <c r="I180" s="130"/>
      <c r="J180" s="130"/>
      <c r="K180" s="130"/>
      <c r="L180" s="130"/>
      <c r="M180" s="130"/>
      <c r="N180" s="130"/>
      <c r="O180" s="130"/>
      <c r="P180" s="130"/>
    </row>
    <row r="181" spans="1:16">
      <c r="B181" s="4" t="s">
        <v>228</v>
      </c>
    </row>
    <row r="182" spans="1:16">
      <c r="B182" s="5" t="s">
        <v>90</v>
      </c>
      <c r="K182" s="13">
        <f>K177</f>
        <v>562396.63312499993</v>
      </c>
      <c r="L182" s="13">
        <f t="shared" ref="L182:P182" si="121">L177</f>
        <v>592420.50203436869</v>
      </c>
      <c r="M182" s="13">
        <f t="shared" si="121"/>
        <v>624122.45296361856</v>
      </c>
      <c r="N182" s="13">
        <f t="shared" si="121"/>
        <v>659158.95734889992</v>
      </c>
      <c r="O182" s="13">
        <f t="shared" si="121"/>
        <v>697891.72821743961</v>
      </c>
      <c r="P182" s="13">
        <f t="shared" si="121"/>
        <v>740730.83931783354</v>
      </c>
    </row>
    <row r="183" spans="1:16">
      <c r="B183" s="5" t="s">
        <v>89</v>
      </c>
      <c r="K183" s="13">
        <f>K178</f>
        <v>153721.7463875</v>
      </c>
      <c r="L183" s="13">
        <f t="shared" ref="L183:P183" si="122">L178</f>
        <v>161641.08427755622</v>
      </c>
      <c r="M183" s="13">
        <f t="shared" si="122"/>
        <v>169987.95781652626</v>
      </c>
      <c r="N183" s="13">
        <f t="shared" si="122"/>
        <v>179210.21752905959</v>
      </c>
      <c r="O183" s="13">
        <f t="shared" si="122"/>
        <v>189401.09736382385</v>
      </c>
      <c r="P183" s="13">
        <f t="shared" si="122"/>
        <v>200666.21399580105</v>
      </c>
    </row>
    <row r="184" spans="1:16">
      <c r="B184" s="5"/>
      <c r="K184" s="13"/>
      <c r="L184" s="13"/>
      <c r="M184" s="13"/>
      <c r="N184" s="13"/>
      <c r="O184" s="13"/>
      <c r="P184" s="13"/>
    </row>
    <row r="186" spans="1:16">
      <c r="A186" t="s">
        <v>95</v>
      </c>
      <c r="B186" s="356" t="s">
        <v>229</v>
      </c>
      <c r="C186" s="357"/>
      <c r="D186" s="357"/>
      <c r="E186" s="357"/>
      <c r="F186" s="357"/>
      <c r="G186" s="357"/>
      <c r="H186" s="357"/>
      <c r="I186" s="357"/>
      <c r="J186" s="357"/>
      <c r="K186" s="357"/>
      <c r="L186" s="357"/>
      <c r="M186" s="357"/>
      <c r="N186" s="357"/>
      <c r="O186" s="357"/>
      <c r="P186" s="356"/>
    </row>
    <row r="187" spans="1:16">
      <c r="B187" s="4" t="s">
        <v>1</v>
      </c>
    </row>
    <row r="188" spans="1:16">
      <c r="F188" s="3">
        <f>F171</f>
        <v>44592</v>
      </c>
      <c r="G188" s="3">
        <f t="shared" ref="G188:P188" si="123">G171</f>
        <v>44957</v>
      </c>
      <c r="H188" s="3">
        <f t="shared" si="123"/>
        <v>45322</v>
      </c>
      <c r="I188" s="3">
        <f t="shared" si="123"/>
        <v>45688</v>
      </c>
      <c r="J188" s="3">
        <f t="shared" si="123"/>
        <v>46053</v>
      </c>
      <c r="K188" s="2">
        <f t="shared" si="123"/>
        <v>46418</v>
      </c>
      <c r="L188" s="2">
        <f t="shared" si="123"/>
        <v>46783</v>
      </c>
      <c r="M188" s="2">
        <f t="shared" si="123"/>
        <v>47149</v>
      </c>
      <c r="N188" s="2">
        <f t="shared" si="123"/>
        <v>47514</v>
      </c>
      <c r="O188" s="2">
        <f t="shared" si="123"/>
        <v>47879</v>
      </c>
      <c r="P188" s="1" t="str">
        <f t="shared" si="123"/>
        <v>Term</v>
      </c>
    </row>
    <row r="190" spans="1:16">
      <c r="B190" t="s">
        <v>230</v>
      </c>
      <c r="F190" s="188">
        <v>365</v>
      </c>
      <c r="G190" s="189">
        <v>365</v>
      </c>
      <c r="H190" s="189">
        <v>365</v>
      </c>
      <c r="I190" s="189">
        <v>365</v>
      </c>
      <c r="J190" s="189">
        <v>365</v>
      </c>
      <c r="K190" s="189">
        <v>365</v>
      </c>
      <c r="L190" s="189">
        <v>365</v>
      </c>
      <c r="M190" s="189">
        <v>365</v>
      </c>
      <c r="N190" s="189">
        <v>365</v>
      </c>
      <c r="O190" s="189">
        <v>365</v>
      </c>
      <c r="P190" s="190">
        <v>365</v>
      </c>
    </row>
    <row r="191" spans="1:16">
      <c r="B191" t="s">
        <v>231</v>
      </c>
      <c r="F191" s="28">
        <f>F164</f>
        <v>572754</v>
      </c>
      <c r="G191" s="14">
        <f t="shared" ref="G191:P191" si="124">G164</f>
        <v>611289</v>
      </c>
      <c r="H191" s="14">
        <f t="shared" si="124"/>
        <v>648125</v>
      </c>
      <c r="I191" s="14">
        <f t="shared" si="124"/>
        <v>680985</v>
      </c>
      <c r="J191" s="14">
        <f t="shared" si="124"/>
        <v>713163</v>
      </c>
      <c r="K191" s="14">
        <f t="shared" si="124"/>
        <v>749862.17749999999</v>
      </c>
      <c r="L191" s="14">
        <f t="shared" si="124"/>
        <v>790420.95001249993</v>
      </c>
      <c r="M191" s="14">
        <f t="shared" si="124"/>
        <v>833274.30302218767</v>
      </c>
      <c r="N191" s="14">
        <f t="shared" si="124"/>
        <v>880639.88957768853</v>
      </c>
      <c r="O191" s="14">
        <f t="shared" si="124"/>
        <v>933010.33184149675</v>
      </c>
      <c r="P191" s="29">
        <f t="shared" si="124"/>
        <v>990944.26664593106</v>
      </c>
    </row>
    <row r="192" spans="1:16">
      <c r="B192" t="s">
        <v>90</v>
      </c>
      <c r="F192" s="30">
        <f>F177</f>
        <v>-429000</v>
      </c>
      <c r="G192" s="31">
        <f t="shared" ref="G192:P192" si="125">G177</f>
        <v>-463721</v>
      </c>
      <c r="H192" s="31">
        <f t="shared" si="125"/>
        <v>-490142</v>
      </c>
      <c r="I192" s="31">
        <f t="shared" si="125"/>
        <v>-511753</v>
      </c>
      <c r="J192" s="31">
        <f t="shared" si="125"/>
        <v>-535395</v>
      </c>
      <c r="K192" s="31">
        <f t="shared" si="125"/>
        <v>562396.63312499993</v>
      </c>
      <c r="L192" s="31">
        <f t="shared" si="125"/>
        <v>592420.50203436869</v>
      </c>
      <c r="M192" s="31">
        <f t="shared" si="125"/>
        <v>624122.45296361856</v>
      </c>
      <c r="N192" s="31">
        <f t="shared" si="125"/>
        <v>659158.95734889992</v>
      </c>
      <c r="O192" s="31">
        <f t="shared" si="125"/>
        <v>697891.72821743961</v>
      </c>
      <c r="P192" s="32">
        <f t="shared" si="125"/>
        <v>740730.83931783354</v>
      </c>
    </row>
    <row r="195" spans="2:18">
      <c r="B195" t="s">
        <v>232</v>
      </c>
      <c r="F195" s="184">
        <f>(F200/F191)*F$190</f>
        <v>5.2766109010150961</v>
      </c>
      <c r="G195" s="184">
        <f t="shared" ref="G195:J196" si="126">(G200/G191)*G$190</f>
        <v>4.7367857101959956</v>
      </c>
      <c r="H195" s="184">
        <f t="shared" si="126"/>
        <v>4.9535814850530375</v>
      </c>
      <c r="I195" s="184">
        <f t="shared" si="126"/>
        <v>5.3464834027181221</v>
      </c>
      <c r="J195" s="184">
        <f t="shared" si="126"/>
        <v>5.7178793627824209</v>
      </c>
      <c r="K195" s="186">
        <f>'Drivers, Inputs and Outputs'!J12</f>
        <v>5.6</v>
      </c>
      <c r="L195" s="186">
        <f>'Drivers, Inputs and Outputs'!K12</f>
        <v>5.5</v>
      </c>
      <c r="M195" s="186">
        <f>'Drivers, Inputs and Outputs'!L12</f>
        <v>5.4</v>
      </c>
      <c r="N195" s="186">
        <f>'Drivers, Inputs and Outputs'!M12</f>
        <v>5.3</v>
      </c>
      <c r="O195" s="186">
        <f>'Drivers, Inputs and Outputs'!N12</f>
        <v>5.2</v>
      </c>
      <c r="P195" s="186">
        <f>'Drivers, Inputs and Outputs'!O12</f>
        <v>5.0999999999999996</v>
      </c>
      <c r="R195" s="180" t="s">
        <v>372</v>
      </c>
    </row>
    <row r="196" spans="2:18">
      <c r="B196" t="s">
        <v>233</v>
      </c>
      <c r="F196" s="184">
        <f>(F201/F192)*F$190</f>
        <v>-48.080454545454543</v>
      </c>
      <c r="G196" s="184">
        <f t="shared" si="126"/>
        <v>-44.53160413265735</v>
      </c>
      <c r="H196" s="184">
        <f t="shared" si="126"/>
        <v>-40.877092760873381</v>
      </c>
      <c r="I196" s="184">
        <f t="shared" si="126"/>
        <v>-40.251400578013218</v>
      </c>
      <c r="J196" s="184">
        <f t="shared" si="126"/>
        <v>-40.1210601518505</v>
      </c>
      <c r="K196" s="186">
        <f>'Drivers, Inputs and Outputs'!J13</f>
        <v>40</v>
      </c>
      <c r="L196" s="186">
        <f>'Drivers, Inputs and Outputs'!K13</f>
        <v>39.5</v>
      </c>
      <c r="M196" s="186">
        <f>'Drivers, Inputs and Outputs'!L13</f>
        <v>39</v>
      </c>
      <c r="N196" s="186">
        <f>'Drivers, Inputs and Outputs'!M13</f>
        <v>38.5</v>
      </c>
      <c r="O196" s="186">
        <f>'Drivers, Inputs and Outputs'!N13</f>
        <v>38</v>
      </c>
      <c r="P196" s="186">
        <f>'Drivers, Inputs and Outputs'!O13</f>
        <v>37.5</v>
      </c>
      <c r="R196" s="180" t="s">
        <v>373</v>
      </c>
    </row>
    <row r="197" spans="2:18">
      <c r="B197" t="s">
        <v>234</v>
      </c>
      <c r="F197" s="184">
        <f>(F202/F192)*F$190</f>
        <v>-47.016934731934732</v>
      </c>
      <c r="G197" s="184">
        <f t="shared" ref="G197:J197" si="127">(G202/G192)*G$190</f>
        <v>-42.300930947703471</v>
      </c>
      <c r="H197" s="184">
        <f t="shared" si="127"/>
        <v>-42.306882495276881</v>
      </c>
      <c r="I197" s="184">
        <f t="shared" si="127"/>
        <v>-41.842627204921122</v>
      </c>
      <c r="J197" s="184">
        <f t="shared" si="127"/>
        <v>-42.991184079044444</v>
      </c>
      <c r="K197" s="186">
        <f>'Drivers, Inputs and Outputs'!J14</f>
        <v>42.25</v>
      </c>
      <c r="L197" s="186">
        <f>'Drivers, Inputs and Outputs'!K14</f>
        <v>42.5</v>
      </c>
      <c r="M197" s="186">
        <f>'Drivers, Inputs and Outputs'!L14</f>
        <v>42.5</v>
      </c>
      <c r="N197" s="186">
        <f>'Drivers, Inputs and Outputs'!M14</f>
        <v>42.75</v>
      </c>
      <c r="O197" s="186">
        <f>'Drivers, Inputs and Outputs'!N14</f>
        <v>43</v>
      </c>
      <c r="P197" s="186">
        <f>'Drivers, Inputs and Outputs'!O14</f>
        <v>43.25</v>
      </c>
      <c r="R197" s="180" t="s">
        <v>374</v>
      </c>
    </row>
    <row r="199" spans="2:18">
      <c r="B199" t="s">
        <v>235</v>
      </c>
    </row>
    <row r="200" spans="2:18">
      <c r="B200" s="7" t="s">
        <v>236</v>
      </c>
      <c r="F200" s="14">
        <f t="shared" ref="F200:J201" si="128">F82</f>
        <v>8280</v>
      </c>
      <c r="G200" s="14">
        <f t="shared" si="128"/>
        <v>7933</v>
      </c>
      <c r="H200" s="14">
        <f t="shared" si="128"/>
        <v>8796</v>
      </c>
      <c r="I200" s="14">
        <f t="shared" si="128"/>
        <v>9975</v>
      </c>
      <c r="J200" s="14">
        <f t="shared" si="128"/>
        <v>11172</v>
      </c>
      <c r="K200" s="14">
        <f>(K195/K$190)*K191</f>
        <v>11504.734778082191</v>
      </c>
      <c r="L200" s="14">
        <f t="shared" ref="L200:O200" si="129">(L195/L$190)*L191</f>
        <v>11910.452671421232</v>
      </c>
      <c r="M200" s="14">
        <f t="shared" si="129"/>
        <v>12327.893798136476</v>
      </c>
      <c r="N200" s="14">
        <f t="shared" si="129"/>
        <v>12787.373739073286</v>
      </c>
      <c r="O200" s="14">
        <f t="shared" si="129"/>
        <v>13292.20198787886</v>
      </c>
      <c r="P200" s="14">
        <f>(P195/P$190)*P191</f>
        <v>13846.070575052734</v>
      </c>
    </row>
    <row r="201" spans="2:18">
      <c r="B201" s="7" t="s">
        <v>237</v>
      </c>
      <c r="F201" s="14">
        <f t="shared" si="128"/>
        <v>56511</v>
      </c>
      <c r="G201" s="14">
        <f t="shared" si="128"/>
        <v>56576</v>
      </c>
      <c r="H201" s="14">
        <f t="shared" si="128"/>
        <v>54892</v>
      </c>
      <c r="I201" s="14">
        <f t="shared" si="128"/>
        <v>56435</v>
      </c>
      <c r="J201" s="14">
        <f t="shared" si="128"/>
        <v>58851</v>
      </c>
      <c r="K201" s="14">
        <f>(K196/K$190)*K$192</f>
        <v>61632.507739726017</v>
      </c>
      <c r="L201" s="14">
        <f t="shared" ref="L201:P201" si="130">(L196/L$190)*L$192</f>
        <v>64111.259809198804</v>
      </c>
      <c r="M201" s="14">
        <f t="shared" si="130"/>
        <v>66687.056618030474</v>
      </c>
      <c r="N201" s="14">
        <f t="shared" si="130"/>
        <v>69527.725638171629</v>
      </c>
      <c r="O201" s="14">
        <f t="shared" si="130"/>
        <v>72657.221019897828</v>
      </c>
      <c r="P201" s="14">
        <f t="shared" si="130"/>
        <v>76102.483491558232</v>
      </c>
    </row>
    <row r="202" spans="2:18">
      <c r="B202" s="7" t="s">
        <v>238</v>
      </c>
      <c r="F202" s="14">
        <f>F96</f>
        <v>55261</v>
      </c>
      <c r="G202" s="14">
        <f>G96</f>
        <v>53742</v>
      </c>
      <c r="H202" s="14">
        <f>H96</f>
        <v>56812</v>
      </c>
      <c r="I202" s="14">
        <f>I96</f>
        <v>58666</v>
      </c>
      <c r="J202" s="14">
        <f>J96</f>
        <v>63061</v>
      </c>
      <c r="K202" s="14">
        <f t="shared" ref="K202:P202" si="131">(K197/K$190)*K$192</f>
        <v>65099.336300085604</v>
      </c>
      <c r="L202" s="14">
        <f t="shared" si="131"/>
        <v>68980.469414960739</v>
      </c>
      <c r="M202" s="14">
        <f t="shared" si="131"/>
        <v>72671.792468366548</v>
      </c>
      <c r="N202" s="14">
        <f t="shared" si="131"/>
        <v>77202.864182645135</v>
      </c>
      <c r="O202" s="14">
        <f t="shared" si="131"/>
        <v>82217.38168041069</v>
      </c>
      <c r="P202" s="14">
        <f t="shared" si="131"/>
        <v>87771.53096026383</v>
      </c>
    </row>
    <row r="205" spans="2:18">
      <c r="B205" s="187" t="s">
        <v>239</v>
      </c>
    </row>
    <row r="206" spans="2:18">
      <c r="B206" s="7" t="s">
        <v>236</v>
      </c>
      <c r="K206" s="14">
        <f>J200-K200</f>
        <v>-332.73477808219104</v>
      </c>
      <c r="L206" s="14">
        <f t="shared" ref="L206:P206" si="132">K200-L200</f>
        <v>-405.71789333904053</v>
      </c>
      <c r="M206" s="14">
        <f t="shared" si="132"/>
        <v>-417.44112671524454</v>
      </c>
      <c r="N206" s="14">
        <f t="shared" si="132"/>
        <v>-459.47994093680973</v>
      </c>
      <c r="O206" s="14">
        <f t="shared" si="132"/>
        <v>-504.82824880557382</v>
      </c>
      <c r="P206" s="14">
        <f t="shared" si="132"/>
        <v>-553.8685871738744</v>
      </c>
    </row>
    <row r="207" spans="2:18">
      <c r="B207" s="7" t="s">
        <v>237</v>
      </c>
      <c r="K207" s="14">
        <f>J201-K201</f>
        <v>-2781.5077397260175</v>
      </c>
      <c r="L207" s="14">
        <f t="shared" ref="L207:P207" si="133">K201-L201</f>
        <v>-2478.7520694727864</v>
      </c>
      <c r="M207" s="14">
        <f t="shared" si="133"/>
        <v>-2575.7968088316702</v>
      </c>
      <c r="N207" s="14">
        <f t="shared" si="133"/>
        <v>-2840.6690201411548</v>
      </c>
      <c r="O207" s="14">
        <f t="shared" si="133"/>
        <v>-3129.4953817261994</v>
      </c>
      <c r="P207" s="14">
        <f t="shared" si="133"/>
        <v>-3445.2624716604041</v>
      </c>
    </row>
    <row r="208" spans="2:18">
      <c r="B208" s="7" t="s">
        <v>238</v>
      </c>
      <c r="K208" s="14">
        <f>K202-J202</f>
        <v>2038.3363000856043</v>
      </c>
      <c r="L208" s="14">
        <f t="shared" ref="L208:P208" si="134">L202-K202</f>
        <v>3881.1331148751342</v>
      </c>
      <c r="M208" s="14">
        <f t="shared" si="134"/>
        <v>3691.3230534058093</v>
      </c>
      <c r="N208" s="14">
        <f t="shared" si="134"/>
        <v>4531.071714278587</v>
      </c>
      <c r="O208" s="14">
        <f t="shared" si="134"/>
        <v>5014.5174977655552</v>
      </c>
      <c r="P208" s="14">
        <f t="shared" si="134"/>
        <v>5554.1492798531399</v>
      </c>
    </row>
    <row r="209" spans="1:18">
      <c r="B209" s="11" t="s">
        <v>240</v>
      </c>
      <c r="K209" s="227">
        <f>SUM(K206:K208)</f>
        <v>-1075.9062177226042</v>
      </c>
      <c r="L209" s="227">
        <f t="shared" ref="L209:P209" si="135">SUM(L206:L208)</f>
        <v>996.66315206330728</v>
      </c>
      <c r="M209" s="227">
        <f t="shared" si="135"/>
        <v>698.08511785889459</v>
      </c>
      <c r="N209" s="227">
        <f t="shared" si="135"/>
        <v>1230.9227532006225</v>
      </c>
      <c r="O209" s="227">
        <f t="shared" si="135"/>
        <v>1380.1938672337819</v>
      </c>
      <c r="P209" s="227">
        <f t="shared" si="135"/>
        <v>1555.0182210188614</v>
      </c>
    </row>
    <row r="210" spans="1:18">
      <c r="B210" s="11"/>
      <c r="K210" s="13"/>
      <c r="L210" s="13"/>
      <c r="M210" s="13"/>
      <c r="N210" s="13"/>
      <c r="O210" s="13"/>
      <c r="P210" s="13"/>
    </row>
    <row r="212" spans="1:18">
      <c r="A212" t="s">
        <v>95</v>
      </c>
      <c r="B212" s="356" t="s">
        <v>241</v>
      </c>
      <c r="C212" s="357"/>
      <c r="D212" s="357"/>
      <c r="E212" s="357"/>
      <c r="F212" s="357"/>
      <c r="G212" s="357"/>
      <c r="H212" s="357"/>
      <c r="I212" s="357"/>
      <c r="J212" s="357"/>
      <c r="K212" s="357"/>
      <c r="L212" s="357"/>
      <c r="M212" s="357"/>
      <c r="N212" s="357"/>
      <c r="O212" s="357"/>
      <c r="P212" s="356"/>
    </row>
    <row r="213" spans="1:18">
      <c r="B213" s="4" t="s">
        <v>1</v>
      </c>
    </row>
    <row r="214" spans="1:18">
      <c r="F214" s="3">
        <f>F188</f>
        <v>44592</v>
      </c>
      <c r="G214" s="3">
        <f t="shared" ref="G214:P214" si="136">G188</f>
        <v>44957</v>
      </c>
      <c r="H214" s="3">
        <f t="shared" si="136"/>
        <v>45322</v>
      </c>
      <c r="I214" s="3">
        <f t="shared" si="136"/>
        <v>45688</v>
      </c>
      <c r="J214" s="3">
        <f t="shared" si="136"/>
        <v>46053</v>
      </c>
      <c r="K214" s="2">
        <f t="shared" si="136"/>
        <v>46418</v>
      </c>
      <c r="L214" s="2">
        <f t="shared" si="136"/>
        <v>46783</v>
      </c>
      <c r="M214" s="2">
        <f t="shared" si="136"/>
        <v>47149</v>
      </c>
      <c r="N214" s="2">
        <f t="shared" si="136"/>
        <v>47514</v>
      </c>
      <c r="O214" s="2">
        <f t="shared" si="136"/>
        <v>47879</v>
      </c>
      <c r="P214" s="1" t="str">
        <f t="shared" si="136"/>
        <v>Term</v>
      </c>
    </row>
    <row r="216" spans="1:18">
      <c r="B216" s="5" t="s">
        <v>375</v>
      </c>
      <c r="K216" s="34">
        <f>'Drivers, Inputs and Outputs'!J10</f>
        <v>28119.83165625</v>
      </c>
      <c r="L216" s="35">
        <f>'Drivers, Inputs and Outputs'!K10</f>
        <v>31616.838000499996</v>
      </c>
      <c r="M216" s="35">
        <f>'Drivers, Inputs and Outputs'!L10</f>
        <v>33330.972120887505</v>
      </c>
      <c r="N216" s="35">
        <f>'Drivers, Inputs and Outputs'!M10</f>
        <v>37427.195307051763</v>
      </c>
      <c r="O216" s="35">
        <f>'Drivers, Inputs and Outputs'!N10</f>
        <v>39652.939103263612</v>
      </c>
      <c r="P216" s="36">
        <f>'Drivers, Inputs and Outputs'!O10</f>
        <v>0</v>
      </c>
      <c r="R216" s="180" t="s">
        <v>537</v>
      </c>
    </row>
    <row r="217" spans="1:18">
      <c r="K217" s="14"/>
      <c r="L217" s="14"/>
      <c r="M217" s="14"/>
      <c r="N217" s="14"/>
      <c r="O217" s="14"/>
      <c r="P217" s="14"/>
    </row>
    <row r="219" spans="1:18" ht="15.75">
      <c r="B219" s="191" t="s">
        <v>376</v>
      </c>
      <c r="D219" s="5"/>
      <c r="E219" s="5"/>
      <c r="M219" s="5" t="s">
        <v>242</v>
      </c>
    </row>
    <row r="220" spans="1:18">
      <c r="B220" s="38" t="s">
        <v>243</v>
      </c>
      <c r="C220" s="39">
        <f>'Drivers, Inputs and Outputs'!O21</f>
        <v>15</v>
      </c>
      <c r="K220" s="40">
        <v>1</v>
      </c>
      <c r="L220" s="40">
        <f>K220+1</f>
        <v>2</v>
      </c>
      <c r="M220" s="40">
        <f t="shared" ref="M220:O220" si="137">L220+1</f>
        <v>3</v>
      </c>
      <c r="N220" s="40">
        <f t="shared" si="137"/>
        <v>4</v>
      </c>
      <c r="O220" s="40">
        <f t="shared" si="137"/>
        <v>5</v>
      </c>
    </row>
    <row r="221" spans="1:18">
      <c r="B221" s="41" t="s">
        <v>244</v>
      </c>
      <c r="C221" s="32">
        <f>'Drivers, Inputs and Outputs'!O26</f>
        <v>216939</v>
      </c>
      <c r="K221" s="42">
        <v>1</v>
      </c>
      <c r="L221" s="43">
        <v>1</v>
      </c>
      <c r="M221" s="43">
        <v>1</v>
      </c>
      <c r="N221" s="43">
        <v>1</v>
      </c>
      <c r="O221" s="44">
        <v>1</v>
      </c>
    </row>
    <row r="223" spans="1:18" ht="15.75">
      <c r="B223" s="191" t="s">
        <v>377</v>
      </c>
    </row>
    <row r="224" spans="1:18">
      <c r="B224" s="38" t="s">
        <v>245</v>
      </c>
      <c r="C224" s="130"/>
      <c r="D224" s="39">
        <f>'Drivers, Inputs and Outputs'!O22</f>
        <v>12</v>
      </c>
    </row>
    <row r="225" spans="2:15">
      <c r="B225" s="41" t="s">
        <v>246</v>
      </c>
      <c r="C225" s="194"/>
      <c r="D225" s="45">
        <f>'Drivers, Inputs and Outputs'!O20</f>
        <v>0.5</v>
      </c>
      <c r="H225" s="46" t="s">
        <v>247</v>
      </c>
      <c r="I225" s="46" t="s">
        <v>248</v>
      </c>
      <c r="J225" s="47"/>
      <c r="K225" s="48">
        <f>K214</f>
        <v>46418</v>
      </c>
      <c r="L225" s="48">
        <f t="shared" ref="L225:O225" si="138">L214</f>
        <v>46783</v>
      </c>
      <c r="M225" s="48">
        <f t="shared" si="138"/>
        <v>47149</v>
      </c>
      <c r="N225" s="48">
        <f t="shared" si="138"/>
        <v>47514</v>
      </c>
      <c r="O225" s="48">
        <f t="shared" si="138"/>
        <v>47879</v>
      </c>
    </row>
    <row r="226" spans="2:15">
      <c r="H226" s="49">
        <f>K214</f>
        <v>46418</v>
      </c>
      <c r="I226" s="50">
        <f>$D$224</f>
        <v>12</v>
      </c>
      <c r="J226" s="51"/>
      <c r="K226" s="52">
        <f>IF(J226="",$D$225,MIN($D224-SUM($J226:K226),1))</f>
        <v>0.5</v>
      </c>
      <c r="L226" s="52">
        <f ca="1">IF(K226="",$D$225,MIN($D224-SUM($J226:L226),1))</f>
        <v>1</v>
      </c>
      <c r="M226" s="52">
        <f ca="1">IF(L226="",$D$225,MIN($D224-SUM($J226:M226),1))</f>
        <v>1</v>
      </c>
      <c r="N226" s="52">
        <f ca="1">IF(M226="",$D$225,MIN($D224-SUM($J226:N226),1))</f>
        <v>1</v>
      </c>
      <c r="O226" s="193">
        <f ca="1">IF(N226="",$D$225,MIN($D224-SUM($J226:O226),1))</f>
        <v>1</v>
      </c>
    </row>
    <row r="227" spans="2:15">
      <c r="H227" s="53">
        <f>L214</f>
        <v>46783</v>
      </c>
      <c r="I227" s="192">
        <f>$D$224</f>
        <v>12</v>
      </c>
      <c r="J227" s="54"/>
      <c r="K227" s="55">
        <f t="shared" ref="K227:O230" si="139">J226</f>
        <v>0</v>
      </c>
      <c r="L227" s="55">
        <f t="shared" si="139"/>
        <v>0.5</v>
      </c>
      <c r="M227" s="55">
        <f ca="1">L226</f>
        <v>1</v>
      </c>
      <c r="N227" s="55">
        <f ca="1">M226</f>
        <v>1</v>
      </c>
      <c r="O227" s="56">
        <f ca="1">N226</f>
        <v>1</v>
      </c>
    </row>
    <row r="228" spans="2:15">
      <c r="H228" s="53">
        <f>M214</f>
        <v>47149</v>
      </c>
      <c r="I228" s="192">
        <f>$D$224</f>
        <v>12</v>
      </c>
      <c r="J228" s="54"/>
      <c r="K228" s="55">
        <f>J227</f>
        <v>0</v>
      </c>
      <c r="L228" s="55">
        <f t="shared" si="139"/>
        <v>0</v>
      </c>
      <c r="M228" s="55">
        <f t="shared" si="139"/>
        <v>0.5</v>
      </c>
      <c r="N228" s="55">
        <f ca="1">M227</f>
        <v>1</v>
      </c>
      <c r="O228" s="56">
        <f ca="1">N227</f>
        <v>1</v>
      </c>
    </row>
    <row r="229" spans="2:15">
      <c r="H229" s="53">
        <f>N214</f>
        <v>47514</v>
      </c>
      <c r="I229" s="192">
        <f>$D$224</f>
        <v>12</v>
      </c>
      <c r="J229" s="54"/>
      <c r="K229" s="55">
        <f t="shared" si="139"/>
        <v>0</v>
      </c>
      <c r="L229" s="55">
        <f t="shared" si="139"/>
        <v>0</v>
      </c>
      <c r="M229" s="55">
        <f t="shared" si="139"/>
        <v>0</v>
      </c>
      <c r="N229" s="55">
        <f t="shared" si="139"/>
        <v>0.5</v>
      </c>
      <c r="O229" s="56">
        <f ca="1">N228</f>
        <v>1</v>
      </c>
    </row>
    <row r="230" spans="2:15">
      <c r="H230" s="57">
        <f>O214</f>
        <v>47879</v>
      </c>
      <c r="I230" s="58">
        <f>$D$224</f>
        <v>12</v>
      </c>
      <c r="J230" s="59"/>
      <c r="K230" s="60">
        <f t="shared" si="139"/>
        <v>0</v>
      </c>
      <c r="L230" s="60">
        <f t="shared" si="139"/>
        <v>0</v>
      </c>
      <c r="M230" s="60">
        <f t="shared" si="139"/>
        <v>0</v>
      </c>
      <c r="N230" s="60">
        <f t="shared" si="139"/>
        <v>0</v>
      </c>
      <c r="O230" s="61">
        <f t="shared" si="139"/>
        <v>0.5</v>
      </c>
    </row>
    <row r="231" spans="2:15">
      <c r="H231" s="47"/>
      <c r="I231" s="47"/>
      <c r="J231" s="47"/>
      <c r="K231" s="62"/>
      <c r="L231" s="62"/>
      <c r="M231" s="62"/>
      <c r="N231" s="62"/>
      <c r="O231" s="62"/>
    </row>
    <row r="232" spans="2:15">
      <c r="H232" s="47"/>
      <c r="I232" s="47"/>
      <c r="J232" s="47"/>
      <c r="K232" s="62"/>
      <c r="L232" s="62"/>
      <c r="M232" s="62"/>
      <c r="N232" s="62"/>
      <c r="O232" s="62"/>
    </row>
    <row r="233" spans="2:15">
      <c r="H233" s="47"/>
      <c r="I233" s="47"/>
      <c r="J233" s="47"/>
      <c r="K233" s="63" t="s">
        <v>249</v>
      </c>
      <c r="L233" s="64"/>
      <c r="M233" s="64"/>
      <c r="N233" s="64"/>
      <c r="O233" s="65"/>
    </row>
    <row r="234" spans="2:15">
      <c r="H234" s="46" t="s">
        <v>247</v>
      </c>
      <c r="I234" s="46" t="s">
        <v>250</v>
      </c>
      <c r="J234" s="46" t="s">
        <v>251</v>
      </c>
      <c r="K234" s="48">
        <f>K225</f>
        <v>46418</v>
      </c>
      <c r="L234" s="48">
        <f t="shared" ref="L234:O234" si="140">L225</f>
        <v>46783</v>
      </c>
      <c r="M234" s="48">
        <f t="shared" si="140"/>
        <v>47149</v>
      </c>
      <c r="N234" s="48">
        <f t="shared" si="140"/>
        <v>47514</v>
      </c>
      <c r="O234" s="48">
        <f t="shared" si="140"/>
        <v>47879</v>
      </c>
    </row>
    <row r="235" spans="2:15">
      <c r="H235" s="49">
        <f>H226</f>
        <v>46418</v>
      </c>
      <c r="I235" s="66">
        <f>SUMIF($K$214:$O$214,H235,$K$216:$P$216)</f>
        <v>28119.83165625</v>
      </c>
      <c r="J235" s="67">
        <f>I235/I226</f>
        <v>2343.3193046874999</v>
      </c>
      <c r="K235" s="68">
        <f t="shared" ref="K235:O239" si="141">$J235*K226</f>
        <v>1171.6596523437499</v>
      </c>
      <c r="L235" s="68">
        <f t="shared" ca="1" si="141"/>
        <v>2343.3193046874999</v>
      </c>
      <c r="M235" s="68">
        <f t="shared" ca="1" si="141"/>
        <v>2343.3193046874999</v>
      </c>
      <c r="N235" s="68">
        <f t="shared" ca="1" si="141"/>
        <v>2343.3193046874999</v>
      </c>
      <c r="O235" s="69">
        <f t="shared" ca="1" si="141"/>
        <v>2343.3193046874999</v>
      </c>
    </row>
    <row r="236" spans="2:15">
      <c r="H236" s="53">
        <f>H227</f>
        <v>46783</v>
      </c>
      <c r="I236" s="70">
        <f t="shared" ref="I236:I239" si="142">SUMIF($K$214:$O$214,H236,$K$216:$P$216)</f>
        <v>31616.838000499996</v>
      </c>
      <c r="J236" s="71">
        <f>I236/I227</f>
        <v>2634.7365000416662</v>
      </c>
      <c r="K236" s="72">
        <f t="shared" si="141"/>
        <v>0</v>
      </c>
      <c r="L236" s="72">
        <f t="shared" si="141"/>
        <v>1317.3682500208331</v>
      </c>
      <c r="M236" s="72">
        <f t="shared" ca="1" si="141"/>
        <v>2634.7365000416662</v>
      </c>
      <c r="N236" s="72">
        <f t="shared" ca="1" si="141"/>
        <v>2634.7365000416662</v>
      </c>
      <c r="O236" s="73">
        <f t="shared" ca="1" si="141"/>
        <v>2634.7365000416662</v>
      </c>
    </row>
    <row r="237" spans="2:15">
      <c r="H237" s="53">
        <f>H228</f>
        <v>47149</v>
      </c>
      <c r="I237" s="70">
        <f t="shared" si="142"/>
        <v>33330.972120887505</v>
      </c>
      <c r="J237" s="71">
        <f>I237/I228</f>
        <v>2777.5810100739586</v>
      </c>
      <c r="K237" s="72">
        <f t="shared" si="141"/>
        <v>0</v>
      </c>
      <c r="L237" s="72">
        <f t="shared" si="141"/>
        <v>0</v>
      </c>
      <c r="M237" s="72">
        <f t="shared" si="141"/>
        <v>1388.7905050369793</v>
      </c>
      <c r="N237" s="72">
        <f t="shared" ca="1" si="141"/>
        <v>2777.5810100739586</v>
      </c>
      <c r="O237" s="73">
        <f t="shared" ca="1" si="141"/>
        <v>2777.5810100739586</v>
      </c>
    </row>
    <row r="238" spans="2:15">
      <c r="H238" s="53">
        <f>H229</f>
        <v>47514</v>
      </c>
      <c r="I238" s="70">
        <f t="shared" si="142"/>
        <v>37427.195307051763</v>
      </c>
      <c r="J238" s="71">
        <f>I238/I229</f>
        <v>3118.9329422543137</v>
      </c>
      <c r="K238" s="72">
        <f t="shared" si="141"/>
        <v>0</v>
      </c>
      <c r="L238" s="72">
        <f t="shared" si="141"/>
        <v>0</v>
      </c>
      <c r="M238" s="72">
        <f t="shared" si="141"/>
        <v>0</v>
      </c>
      <c r="N238" s="72">
        <f t="shared" si="141"/>
        <v>1559.4664711271569</v>
      </c>
      <c r="O238" s="73">
        <f t="shared" ca="1" si="141"/>
        <v>3118.9329422543137</v>
      </c>
    </row>
    <row r="239" spans="2:15">
      <c r="H239" s="57">
        <f>H230</f>
        <v>47879</v>
      </c>
      <c r="I239" s="74">
        <f t="shared" si="142"/>
        <v>39652.939103263612</v>
      </c>
      <c r="J239" s="75">
        <f>I239/I230</f>
        <v>3304.4115919386345</v>
      </c>
      <c r="K239" s="76">
        <f t="shared" si="141"/>
        <v>0</v>
      </c>
      <c r="L239" s="76">
        <f t="shared" si="141"/>
        <v>0</v>
      </c>
      <c r="M239" s="76">
        <f t="shared" si="141"/>
        <v>0</v>
      </c>
      <c r="N239" s="76">
        <f t="shared" si="141"/>
        <v>0</v>
      </c>
      <c r="O239" s="77">
        <f t="shared" si="141"/>
        <v>1652.2057959693173</v>
      </c>
    </row>
    <row r="242" spans="1:17" ht="15.75">
      <c r="B242" s="191" t="s">
        <v>378</v>
      </c>
    </row>
    <row r="243" spans="1:17">
      <c r="B243" s="7" t="s">
        <v>252</v>
      </c>
      <c r="K243" s="27">
        <f>($C$221/$C$220)*K221</f>
        <v>14462.6</v>
      </c>
      <c r="L243" s="27">
        <f>($C$221/$C$220)*L221</f>
        <v>14462.6</v>
      </c>
      <c r="M243" s="27">
        <f>($C$221/$C$220)*M221</f>
        <v>14462.6</v>
      </c>
      <c r="N243" s="27">
        <f>($C$221/$C$220)*N221</f>
        <v>14462.6</v>
      </c>
      <c r="O243" s="27">
        <f>($C$221/$C$220)*O221</f>
        <v>14462.6</v>
      </c>
    </row>
    <row r="244" spans="1:17">
      <c r="B244" s="7" t="s">
        <v>253</v>
      </c>
      <c r="K244" s="78">
        <f>SUM(K235:K239)</f>
        <v>1171.6596523437499</v>
      </c>
      <c r="L244" s="78">
        <f ca="1">SUM(L235:L239)</f>
        <v>3660.6875547083328</v>
      </c>
      <c r="M244" s="78">
        <f ca="1">SUM(M235:M239)</f>
        <v>6366.8463097661452</v>
      </c>
      <c r="N244" s="78">
        <f ca="1">SUM(N235:N239)</f>
        <v>9315.1032859302813</v>
      </c>
      <c r="O244" s="78">
        <f ca="1">SUM(O235:O239)</f>
        <v>12526.775553026757</v>
      </c>
    </row>
    <row r="245" spans="1:17">
      <c r="B245" s="11" t="s">
        <v>254</v>
      </c>
      <c r="K245" s="230">
        <f>SUM(K243:K244)</f>
        <v>15634.25965234375</v>
      </c>
      <c r="L245" s="230">
        <f ca="1">SUM(L243:L244)</f>
        <v>18123.287554708331</v>
      </c>
      <c r="M245" s="230">
        <f ca="1">SUM(M243:M244)</f>
        <v>20829.446309766146</v>
      </c>
      <c r="N245" s="230">
        <f ca="1">SUM(N243:N244)</f>
        <v>23777.703285930282</v>
      </c>
      <c r="O245" s="230">
        <f ca="1">SUM(O243:O244)</f>
        <v>26989.375553026759</v>
      </c>
    </row>
    <row r="249" spans="1:17">
      <c r="P249" s="79" t="s">
        <v>255</v>
      </c>
    </row>
    <row r="250" spans="1:17">
      <c r="P250" s="80" t="s">
        <v>256</v>
      </c>
    </row>
    <row r="251" spans="1:17">
      <c r="M251" s="80"/>
    </row>
    <row r="253" spans="1:17">
      <c r="A253" t="s">
        <v>95</v>
      </c>
      <c r="B253" s="356" t="s">
        <v>257</v>
      </c>
      <c r="C253" s="357"/>
      <c r="D253" s="357"/>
      <c r="E253" s="357"/>
      <c r="F253" s="357"/>
      <c r="G253" s="357"/>
      <c r="H253" s="357"/>
      <c r="I253" s="357"/>
      <c r="J253" s="357"/>
      <c r="K253" s="357"/>
      <c r="L253" s="357"/>
      <c r="M253" s="357"/>
      <c r="N253" s="357"/>
      <c r="O253" s="357"/>
      <c r="P253" s="356"/>
    </row>
    <row r="254" spans="1:17">
      <c r="B254" s="4" t="s">
        <v>1</v>
      </c>
    </row>
    <row r="255" spans="1:17">
      <c r="F255" s="3">
        <f>F214</f>
        <v>44592</v>
      </c>
      <c r="G255" s="3">
        <f t="shared" ref="G255:P255" si="143">G214</f>
        <v>44957</v>
      </c>
      <c r="H255" s="3">
        <f t="shared" si="143"/>
        <v>45322</v>
      </c>
      <c r="I255" s="3">
        <f t="shared" si="143"/>
        <v>45688</v>
      </c>
      <c r="J255" s="3">
        <f t="shared" si="143"/>
        <v>46053</v>
      </c>
      <c r="K255" s="2">
        <f t="shared" si="143"/>
        <v>46418</v>
      </c>
      <c r="L255" s="2">
        <f t="shared" si="143"/>
        <v>46783</v>
      </c>
      <c r="M255" s="2">
        <f t="shared" si="143"/>
        <v>47149</v>
      </c>
      <c r="N255" s="2">
        <f t="shared" si="143"/>
        <v>47514</v>
      </c>
      <c r="O255" s="2">
        <f t="shared" si="143"/>
        <v>47879</v>
      </c>
      <c r="P255" s="1" t="str">
        <f t="shared" si="143"/>
        <v>Term</v>
      </c>
      <c r="Q255" s="182"/>
    </row>
    <row r="257" spans="2:16">
      <c r="B257" s="5" t="s">
        <v>258</v>
      </c>
      <c r="K257" s="34">
        <f>'Drivers, Inputs and Outputs'!J10</f>
        <v>28119.83165625</v>
      </c>
      <c r="L257" s="35">
        <f>'Drivers, Inputs and Outputs'!K10</f>
        <v>31616.838000499996</v>
      </c>
      <c r="M257" s="35">
        <f>'Drivers, Inputs and Outputs'!L10</f>
        <v>33330.972120887505</v>
      </c>
      <c r="N257" s="35">
        <f>'Drivers, Inputs and Outputs'!M10</f>
        <v>37427.195307051763</v>
      </c>
      <c r="O257" s="35">
        <f>'Drivers, Inputs and Outputs'!N10</f>
        <v>39652.939103263612</v>
      </c>
      <c r="P257" s="36">
        <f>'Drivers, Inputs and Outputs'!O10</f>
        <v>0</v>
      </c>
    </row>
    <row r="258" spans="2:16">
      <c r="I258" s="14"/>
      <c r="J258" s="14"/>
      <c r="K258" s="14"/>
      <c r="L258" s="14"/>
      <c r="M258" s="14"/>
    </row>
    <row r="260" spans="2:16">
      <c r="I260" s="14"/>
      <c r="J260" s="14"/>
      <c r="K260" s="14"/>
      <c r="L260" s="14"/>
      <c r="M260" s="14"/>
    </row>
    <row r="261" spans="2:16">
      <c r="B261" s="38" t="s">
        <v>259</v>
      </c>
      <c r="C261" s="130"/>
      <c r="D261" s="130"/>
      <c r="E261" s="81">
        <v>0.35</v>
      </c>
      <c r="J261" s="14"/>
      <c r="K261" s="14"/>
      <c r="L261" s="14"/>
      <c r="M261" s="14"/>
      <c r="N261" s="14"/>
    </row>
    <row r="262" spans="2:16">
      <c r="B262" s="41" t="s">
        <v>260</v>
      </c>
      <c r="C262" s="194"/>
      <c r="D262" s="194"/>
      <c r="E262" s="82">
        <v>0.2</v>
      </c>
      <c r="J262" s="14"/>
      <c r="K262" s="14"/>
      <c r="L262" s="14"/>
      <c r="M262" s="14"/>
      <c r="N262" s="14"/>
    </row>
    <row r="263" spans="2:16">
      <c r="D263" s="83"/>
      <c r="I263" s="14"/>
      <c r="J263" s="14"/>
      <c r="K263" s="14"/>
      <c r="L263" s="14"/>
      <c r="M263" s="14"/>
    </row>
    <row r="264" spans="2:16">
      <c r="D264" s="83"/>
      <c r="K264" s="14"/>
      <c r="L264" s="14"/>
      <c r="M264" s="14"/>
      <c r="N264" s="14"/>
      <c r="O264" s="14"/>
    </row>
    <row r="265" spans="2:16" ht="15.75">
      <c r="B265" s="191" t="s">
        <v>379</v>
      </c>
      <c r="K265" s="14"/>
      <c r="L265" s="14"/>
      <c r="M265" s="14"/>
      <c r="N265" s="14"/>
      <c r="O265" s="14"/>
    </row>
    <row r="266" spans="2:16">
      <c r="B266" s="7" t="s">
        <v>261</v>
      </c>
      <c r="K266" s="14">
        <f>J270</f>
        <v>136083</v>
      </c>
      <c r="L266" s="14">
        <f>K270</f>
        <v>148259.25385568751</v>
      </c>
      <c r="M266" s="14">
        <f ca="1">L270</f>
        <v>161389.21066447342</v>
      </c>
      <c r="N266" s="14">
        <f ca="1">M270</f>
        <v>173490.76481014412</v>
      </c>
      <c r="O266" s="14">
        <f ca="1">N270</f>
        <v>186672.41688992747</v>
      </c>
    </row>
    <row r="267" spans="2:16">
      <c r="B267" s="7" t="s">
        <v>258</v>
      </c>
      <c r="K267" s="14">
        <f>K257</f>
        <v>28119.83165625</v>
      </c>
      <c r="L267" s="14">
        <f>L257</f>
        <v>31616.838000499996</v>
      </c>
      <c r="M267" s="14">
        <f>M257</f>
        <v>33330.972120887505</v>
      </c>
      <c r="N267" s="14">
        <f>N257</f>
        <v>37427.195307051763</v>
      </c>
      <c r="O267" s="14">
        <f>O257</f>
        <v>39652.939103263612</v>
      </c>
    </row>
    <row r="268" spans="2:16">
      <c r="B268" s="7" t="s">
        <v>262</v>
      </c>
      <c r="K268" s="14">
        <f>K576*-1</f>
        <v>-309.31814821874997</v>
      </c>
      <c r="L268" s="14">
        <f t="shared" ref="L268:O268" si="144">L576*-1</f>
        <v>-363.59363700574994</v>
      </c>
      <c r="M268" s="14">
        <f t="shared" si="144"/>
        <v>-399.97166545065005</v>
      </c>
      <c r="N268" s="14">
        <f t="shared" si="144"/>
        <v>-467.83994133814707</v>
      </c>
      <c r="O268" s="14">
        <f t="shared" si="144"/>
        <v>-515.4882083424269</v>
      </c>
    </row>
    <row r="269" spans="2:16">
      <c r="B269" s="7" t="s">
        <v>263</v>
      </c>
      <c r="K269" s="14">
        <f>K245*-1</f>
        <v>-15634.25965234375</v>
      </c>
      <c r="L269" s="14">
        <f ca="1">L245*-1</f>
        <v>-18123.287554708331</v>
      </c>
      <c r="M269" s="14">
        <f ca="1">M245*-1</f>
        <v>-20829.446309766146</v>
      </c>
      <c r="N269" s="14">
        <f ca="1">N245*-1</f>
        <v>-23777.703285930282</v>
      </c>
      <c r="O269" s="14">
        <f ca="1">O245*-1</f>
        <v>-26989.375553026759</v>
      </c>
    </row>
    <row r="270" spans="2:16">
      <c r="B270" s="11" t="s">
        <v>264</v>
      </c>
      <c r="J270" s="227">
        <f>Notes!G11</f>
        <v>136083</v>
      </c>
      <c r="K270" s="227">
        <f>SUM(K266:K269)</f>
        <v>148259.25385568751</v>
      </c>
      <c r="L270" s="227">
        <f ca="1">SUM(L266:L269)</f>
        <v>161389.21066447342</v>
      </c>
      <c r="M270" s="227">
        <f ca="1">SUM(M266:M269)</f>
        <v>173490.76481014412</v>
      </c>
      <c r="N270" s="227">
        <f ca="1">SUM(N266:N269)</f>
        <v>186672.41688992747</v>
      </c>
      <c r="O270" s="227">
        <f ca="1">SUM(O266:O269)</f>
        <v>198820.49223182187</v>
      </c>
    </row>
    <row r="271" spans="2:16">
      <c r="B271" s="11"/>
      <c r="J271" s="14"/>
      <c r="K271" s="14"/>
      <c r="L271" s="14"/>
      <c r="M271" s="14"/>
      <c r="N271" s="14"/>
      <c r="O271" s="14"/>
    </row>
    <row r="272" spans="2:16">
      <c r="B272" s="7" t="s">
        <v>265</v>
      </c>
      <c r="J272" s="14">
        <f>J90</f>
        <v>28735</v>
      </c>
      <c r="K272" s="14">
        <f>J272*(1+0.5%)</f>
        <v>28878.674999999996</v>
      </c>
      <c r="L272" s="14">
        <f t="shared" ref="L272:O272" si="145">K272*(1+0.5%)</f>
        <v>29023.068374999992</v>
      </c>
      <c r="M272" s="14">
        <f t="shared" si="145"/>
        <v>29168.183716874988</v>
      </c>
      <c r="N272" s="14">
        <f t="shared" si="145"/>
        <v>29314.024635459358</v>
      </c>
      <c r="O272" s="14">
        <f t="shared" si="145"/>
        <v>29460.594758636653</v>
      </c>
    </row>
    <row r="273" spans="1:16">
      <c r="B273" s="11" t="s">
        <v>266</v>
      </c>
      <c r="D273" s="5"/>
      <c r="E273" s="5"/>
      <c r="F273" s="5"/>
      <c r="G273" s="5"/>
      <c r="J273" s="227">
        <f>J270+J272</f>
        <v>164818</v>
      </c>
      <c r="K273" s="227">
        <f t="shared" ref="K273" si="146">K270+K272</f>
        <v>177137.9288556875</v>
      </c>
      <c r="L273" s="227">
        <f ca="1">L270+L272</f>
        <v>190412.27903947342</v>
      </c>
      <c r="M273" s="227">
        <f ca="1">M270+M272</f>
        <v>202658.94852701909</v>
      </c>
      <c r="N273" s="227">
        <f ca="1">N270+N272</f>
        <v>215986.44152538682</v>
      </c>
      <c r="O273" s="227">
        <f ca="1">O270+O272</f>
        <v>228281.08699045854</v>
      </c>
    </row>
    <row r="274" spans="1:16">
      <c r="C274" s="5"/>
      <c r="D274" s="5"/>
      <c r="E274" s="5"/>
      <c r="F274" s="5"/>
      <c r="G274" s="5"/>
      <c r="J274" s="13"/>
      <c r="K274" s="13"/>
      <c r="L274" s="13"/>
      <c r="M274" s="13"/>
      <c r="N274" s="13"/>
      <c r="O274" s="13"/>
    </row>
    <row r="275" spans="1:16">
      <c r="K275" s="14"/>
      <c r="L275" s="14"/>
      <c r="M275" s="14"/>
      <c r="N275" s="14"/>
      <c r="O275" s="14"/>
    </row>
    <row r="276" spans="1:16" ht="15.75">
      <c r="B276" s="191" t="s">
        <v>380</v>
      </c>
      <c r="K276" s="14"/>
      <c r="L276" s="14"/>
      <c r="M276" s="14"/>
      <c r="N276" s="14"/>
      <c r="O276" s="14"/>
    </row>
    <row r="277" spans="1:16">
      <c r="B277" s="7" t="s">
        <v>261</v>
      </c>
      <c r="K277" s="14">
        <f>J280</f>
        <v>111095.24489795919</v>
      </c>
      <c r="L277" s="14">
        <f t="shared" ref="L277:O277" si="147">K280</f>
        <v>115027.63935867985</v>
      </c>
      <c r="M277" s="14">
        <f t="shared" si="147"/>
        <v>121425.77082740888</v>
      </c>
      <c r="N277" s="14">
        <f t="shared" si="147"/>
        <v>128138.42073435249</v>
      </c>
      <c r="O277" s="14">
        <f t="shared" si="147"/>
        <v>137318.02822304014</v>
      </c>
    </row>
    <row r="278" spans="1:16">
      <c r="B278" s="7" t="s">
        <v>258</v>
      </c>
      <c r="K278" s="14">
        <f>K257</f>
        <v>28119.83165625</v>
      </c>
      <c r="L278" s="14">
        <f>L257</f>
        <v>31616.838000499996</v>
      </c>
      <c r="M278" s="14">
        <f>M257</f>
        <v>33330.972120887505</v>
      </c>
      <c r="N278" s="14">
        <f>N257</f>
        <v>37427.195307051763</v>
      </c>
      <c r="O278" s="14">
        <f>O257</f>
        <v>39652.939103263612</v>
      </c>
    </row>
    <row r="279" spans="1:16">
      <c r="B279" s="7" t="s">
        <v>267</v>
      </c>
      <c r="K279" s="84">
        <f>-(K277+K278*$E$261)*$E$262</f>
        <v>-24187.437195529339</v>
      </c>
      <c r="L279" s="84">
        <f t="shared" ref="L279:O279" si="148">-(L277+L278*$E$261)*$E$262</f>
        <v>-25218.706531770971</v>
      </c>
      <c r="M279" s="84">
        <f t="shared" si="148"/>
        <v>-26618.322213943902</v>
      </c>
      <c r="N279" s="84">
        <f t="shared" si="148"/>
        <v>-28247.587818364125</v>
      </c>
      <c r="O279" s="84">
        <f t="shared" si="148"/>
        <v>-30239.31138183648</v>
      </c>
    </row>
    <row r="280" spans="1:16">
      <c r="B280" s="11" t="s">
        <v>264</v>
      </c>
      <c r="J280" s="229">
        <f>'Drivers, Inputs and Outputs'!G23</f>
        <v>111095.24489795919</v>
      </c>
      <c r="K280" s="227">
        <f>SUM(K277:K279)</f>
        <v>115027.63935867985</v>
      </c>
      <c r="L280" s="227">
        <f>SUM(L277:L279)</f>
        <v>121425.77082740888</v>
      </c>
      <c r="M280" s="227">
        <f>SUM(M277:M279)</f>
        <v>128138.42073435249</v>
      </c>
      <c r="N280" s="227">
        <f>SUM(N277:N279)</f>
        <v>137318.02822304014</v>
      </c>
      <c r="O280" s="227">
        <f>SUM(O277:O279)</f>
        <v>146731.65594446726</v>
      </c>
    </row>
    <row r="281" spans="1:16">
      <c r="C281" s="5"/>
      <c r="D281" s="5"/>
      <c r="E281" s="5"/>
      <c r="F281" s="5"/>
      <c r="G281" s="5"/>
      <c r="J281" s="85"/>
      <c r="K281" s="85"/>
      <c r="L281" s="85"/>
      <c r="M281" s="85"/>
      <c r="N281" s="85"/>
      <c r="O281" s="85"/>
    </row>
    <row r="282" spans="1:16">
      <c r="D282" s="83"/>
      <c r="K282" s="14"/>
      <c r="L282" s="14"/>
      <c r="M282" s="14"/>
      <c r="N282" s="14"/>
      <c r="O282" s="14"/>
    </row>
    <row r="283" spans="1:16">
      <c r="K283" s="14"/>
      <c r="L283" s="14"/>
      <c r="M283" s="14"/>
      <c r="N283" s="14"/>
      <c r="O283" s="14"/>
    </row>
    <row r="284" spans="1:16">
      <c r="K284" s="14"/>
      <c r="L284" s="14"/>
      <c r="M284" s="14"/>
      <c r="N284" s="14"/>
      <c r="O284" s="79" t="s">
        <v>270</v>
      </c>
    </row>
    <row r="287" spans="1:16">
      <c r="A287" t="s">
        <v>95</v>
      </c>
      <c r="B287" s="356" t="s">
        <v>420</v>
      </c>
      <c r="C287" s="357"/>
      <c r="D287" s="357"/>
      <c r="E287" s="357"/>
      <c r="F287" s="357"/>
      <c r="G287" s="357"/>
      <c r="H287" s="357"/>
      <c r="I287" s="357"/>
      <c r="J287" s="357"/>
      <c r="K287" s="357"/>
      <c r="L287" s="357"/>
      <c r="M287" s="357"/>
      <c r="N287" s="357"/>
      <c r="O287" s="357"/>
      <c r="P287" s="356"/>
    </row>
    <row r="288" spans="1:16">
      <c r="B288" s="4" t="s">
        <v>1</v>
      </c>
    </row>
    <row r="289" spans="2:18">
      <c r="F289" s="3">
        <f t="shared" ref="F289:P289" si="149">F255</f>
        <v>44592</v>
      </c>
      <c r="G289" s="3">
        <f t="shared" si="149"/>
        <v>44957</v>
      </c>
      <c r="H289" s="3">
        <f t="shared" si="149"/>
        <v>45322</v>
      </c>
      <c r="I289" s="3">
        <f t="shared" si="149"/>
        <v>45688</v>
      </c>
      <c r="J289" s="3">
        <f t="shared" si="149"/>
        <v>46053</v>
      </c>
      <c r="K289" s="2">
        <f t="shared" si="149"/>
        <v>46418</v>
      </c>
      <c r="L289" s="2">
        <f t="shared" si="149"/>
        <v>46783</v>
      </c>
      <c r="M289" s="2">
        <f t="shared" si="149"/>
        <v>47149</v>
      </c>
      <c r="N289" s="2">
        <f t="shared" si="149"/>
        <v>47514</v>
      </c>
      <c r="O289" s="2">
        <f t="shared" si="149"/>
        <v>47879</v>
      </c>
      <c r="P289" s="1" t="str">
        <f t="shared" si="149"/>
        <v>Term</v>
      </c>
    </row>
    <row r="291" spans="2:18">
      <c r="B291" t="s">
        <v>271</v>
      </c>
      <c r="K291" s="14">
        <f t="shared" ref="K291:P291" ca="1" si="150">K20</f>
        <v>31258.400572950042</v>
      </c>
      <c r="L291" s="14">
        <f t="shared" ca="1" si="150"/>
        <v>33839.433858674085</v>
      </c>
      <c r="M291" s="14">
        <f t="shared" ca="1" si="150"/>
        <v>36618.186931442156</v>
      </c>
      <c r="N291" s="14">
        <f t="shared" ca="1" si="150"/>
        <v>39704.229412036977</v>
      </c>
      <c r="O291" s="14">
        <f t="shared" ca="1" si="150"/>
        <v>43303.440302929142</v>
      </c>
      <c r="P291" s="14">
        <f t="shared" ca="1" si="150"/>
        <v>47691.363195463622</v>
      </c>
      <c r="R291" s="180" t="s">
        <v>446</v>
      </c>
    </row>
    <row r="292" spans="2:18">
      <c r="B292" t="s">
        <v>272</v>
      </c>
      <c r="K292" s="86">
        <f t="shared" ref="K292:P292" ca="1" si="151">IF(K306&gt;0,1,0)</f>
        <v>1</v>
      </c>
      <c r="L292" s="86">
        <f t="shared" ca="1" si="151"/>
        <v>1</v>
      </c>
      <c r="M292" s="86">
        <f t="shared" ca="1" si="151"/>
        <v>1</v>
      </c>
      <c r="N292" s="86">
        <f t="shared" ca="1" si="151"/>
        <v>1</v>
      </c>
      <c r="O292" s="86">
        <f t="shared" ca="1" si="151"/>
        <v>1</v>
      </c>
      <c r="P292" s="86">
        <f t="shared" ca="1" si="151"/>
        <v>1</v>
      </c>
    </row>
    <row r="294" spans="2:18">
      <c r="B294" s="87" t="s">
        <v>273</v>
      </c>
      <c r="C294" s="88"/>
      <c r="D294" s="89">
        <f>'Drivers, Inputs and Outputs'!G20</f>
        <v>0.245</v>
      </c>
      <c r="E294" s="47"/>
      <c r="F294" s="47"/>
      <c r="G294" s="47"/>
      <c r="H294" s="47"/>
      <c r="I294" s="62"/>
      <c r="J294" s="62"/>
      <c r="K294" s="62"/>
      <c r="L294" s="62"/>
      <c r="M294" s="62"/>
    </row>
    <row r="295" spans="2:18">
      <c r="B295" s="90" t="s">
        <v>274</v>
      </c>
      <c r="C295" s="91"/>
      <c r="D295" s="92">
        <f ca="1">IF(O315=0,0,1)</f>
        <v>0</v>
      </c>
      <c r="E295" s="47"/>
      <c r="F295" s="84"/>
      <c r="G295" s="93"/>
      <c r="H295" s="84"/>
      <c r="I295" s="84"/>
      <c r="J295" s="84"/>
      <c r="K295" s="84"/>
      <c r="L295" s="84"/>
    </row>
    <row r="296" spans="2:18">
      <c r="B296" s="94"/>
      <c r="C296" s="95"/>
      <c r="D296" s="96"/>
      <c r="E296" s="47"/>
      <c r="F296" s="47"/>
      <c r="G296" s="47"/>
      <c r="H296" s="47"/>
      <c r="I296" s="62"/>
      <c r="J296" s="62"/>
      <c r="K296" s="62"/>
      <c r="L296" s="62"/>
      <c r="M296" s="62"/>
    </row>
    <row r="297" spans="2:18">
      <c r="B297" s="94"/>
      <c r="C297" s="95"/>
      <c r="D297" s="96"/>
      <c r="E297" s="47"/>
      <c r="F297" s="47"/>
      <c r="G297" s="47"/>
      <c r="H297" s="47"/>
      <c r="I297" s="62"/>
      <c r="J297" s="62"/>
      <c r="K297" s="62"/>
      <c r="L297" s="62"/>
      <c r="M297" s="62"/>
    </row>
    <row r="298" spans="2:18">
      <c r="B298" s="46" t="s">
        <v>275</v>
      </c>
      <c r="C298" s="95"/>
      <c r="D298" s="47"/>
      <c r="E298" s="47"/>
      <c r="F298" s="47"/>
      <c r="G298" s="47"/>
      <c r="H298" s="47"/>
      <c r="I298" s="62"/>
      <c r="J298" s="62"/>
      <c r="K298" s="62"/>
      <c r="L298" s="62"/>
      <c r="M298" s="62"/>
    </row>
    <row r="299" spans="2:18">
      <c r="B299" s="7" t="s">
        <v>276</v>
      </c>
      <c r="D299" s="47"/>
      <c r="E299" s="47"/>
      <c r="F299" s="47"/>
      <c r="G299" s="47"/>
      <c r="J299" s="84"/>
      <c r="K299" s="84">
        <f t="shared" ref="K299:P299" ca="1" si="152">K291</f>
        <v>31258.400572950042</v>
      </c>
      <c r="L299" s="84">
        <f t="shared" ca="1" si="152"/>
        <v>33839.433858674085</v>
      </c>
      <c r="M299" s="84">
        <f t="shared" ca="1" si="152"/>
        <v>36618.186931442156</v>
      </c>
      <c r="N299" s="84">
        <f t="shared" ca="1" si="152"/>
        <v>39704.229412036977</v>
      </c>
      <c r="O299" s="84">
        <f t="shared" ca="1" si="152"/>
        <v>43303.440302929142</v>
      </c>
      <c r="P299" s="84">
        <f t="shared" ca="1" si="152"/>
        <v>47691.363195463622</v>
      </c>
    </row>
    <row r="300" spans="2:18">
      <c r="B300" s="7" t="s">
        <v>277</v>
      </c>
      <c r="D300" s="47"/>
      <c r="E300" s="47"/>
      <c r="F300" s="47"/>
      <c r="G300" s="47"/>
      <c r="J300" s="97"/>
      <c r="K300" s="84">
        <f t="shared" ref="K300:P300" si="153">K245</f>
        <v>15634.25965234375</v>
      </c>
      <c r="L300" s="84">
        <f t="shared" ca="1" si="153"/>
        <v>18123.287554708331</v>
      </c>
      <c r="M300" s="84">
        <f t="shared" ca="1" si="153"/>
        <v>20829.446309766146</v>
      </c>
      <c r="N300" s="84">
        <f t="shared" ca="1" si="153"/>
        <v>23777.703285930282</v>
      </c>
      <c r="O300" s="84">
        <f t="shared" ca="1" si="153"/>
        <v>26989.375553026759</v>
      </c>
      <c r="P300" s="84">
        <f t="shared" si="153"/>
        <v>0</v>
      </c>
    </row>
    <row r="301" spans="2:18">
      <c r="B301" s="7" t="s">
        <v>278</v>
      </c>
      <c r="D301" s="47"/>
      <c r="E301" s="47"/>
      <c r="F301" s="47"/>
      <c r="G301" s="47"/>
      <c r="J301" s="97"/>
      <c r="K301" s="98">
        <f t="shared" ref="K301:P301" si="154">K279</f>
        <v>-24187.437195529339</v>
      </c>
      <c r="L301" s="98">
        <f t="shared" si="154"/>
        <v>-25218.706531770971</v>
      </c>
      <c r="M301" s="98">
        <f t="shared" si="154"/>
        <v>-26618.322213943902</v>
      </c>
      <c r="N301" s="98">
        <f t="shared" si="154"/>
        <v>-28247.587818364125</v>
      </c>
      <c r="O301" s="98">
        <f t="shared" si="154"/>
        <v>-30239.31138183648</v>
      </c>
      <c r="P301" s="98">
        <f t="shared" si="154"/>
        <v>0</v>
      </c>
    </row>
    <row r="302" spans="2:18">
      <c r="B302" s="7" t="s">
        <v>279</v>
      </c>
      <c r="D302" s="47"/>
      <c r="E302" s="47"/>
      <c r="F302" s="47"/>
      <c r="G302" s="47"/>
      <c r="J302" s="84"/>
      <c r="K302" s="84">
        <f t="shared" ref="K302:P302" ca="1" si="155">SUM(K299:K301)</f>
        <v>22705.223029764449</v>
      </c>
      <c r="L302" s="84">
        <f t="shared" ca="1" si="155"/>
        <v>26744.014881611445</v>
      </c>
      <c r="M302" s="84">
        <f t="shared" ca="1" si="155"/>
        <v>30829.311027264397</v>
      </c>
      <c r="N302" s="84">
        <f t="shared" ca="1" si="155"/>
        <v>35234.344879603137</v>
      </c>
      <c r="O302" s="84">
        <f t="shared" ca="1" si="155"/>
        <v>40053.504474119429</v>
      </c>
      <c r="P302" s="84">
        <f t="shared" ca="1" si="155"/>
        <v>47691.363195463622</v>
      </c>
    </row>
    <row r="303" spans="2:18">
      <c r="B303" s="7"/>
      <c r="D303" s="47"/>
      <c r="E303" s="47"/>
      <c r="F303" s="47"/>
      <c r="G303" s="47"/>
      <c r="J303" s="84"/>
      <c r="K303" s="84"/>
      <c r="L303" s="84"/>
      <c r="M303" s="84"/>
      <c r="N303" s="84"/>
      <c r="O303" s="84"/>
    </row>
    <row r="304" spans="2:18">
      <c r="B304" s="94"/>
      <c r="C304" s="95"/>
      <c r="D304" s="47"/>
      <c r="E304" s="47"/>
      <c r="F304" s="47"/>
      <c r="G304" s="47"/>
      <c r="J304" s="97"/>
      <c r="K304" s="84"/>
      <c r="L304" s="84"/>
      <c r="M304" s="84"/>
      <c r="N304" s="84"/>
      <c r="O304" s="84"/>
    </row>
    <row r="305" spans="2:16" ht="15.75">
      <c r="B305" s="37" t="s">
        <v>280</v>
      </c>
      <c r="C305" s="95"/>
      <c r="D305" s="47"/>
      <c r="E305" s="47"/>
      <c r="F305" s="47"/>
      <c r="G305" s="47"/>
      <c r="J305" s="97"/>
      <c r="K305" s="84"/>
      <c r="L305" s="84"/>
      <c r="M305" s="84"/>
      <c r="N305" s="84"/>
      <c r="O305" s="84"/>
    </row>
    <row r="306" spans="2:16">
      <c r="B306" s="7" t="s">
        <v>279</v>
      </c>
      <c r="D306" s="47"/>
      <c r="E306" s="47"/>
      <c r="F306" s="47"/>
      <c r="G306" s="47"/>
      <c r="J306" s="84"/>
      <c r="K306" s="84">
        <f t="shared" ref="K306:P306" ca="1" si="156">K302</f>
        <v>22705.223029764449</v>
      </c>
      <c r="L306" s="84">
        <f t="shared" ca="1" si="156"/>
        <v>26744.014881611445</v>
      </c>
      <c r="M306" s="84">
        <f t="shared" ca="1" si="156"/>
        <v>30829.311027264397</v>
      </c>
      <c r="N306" s="84">
        <f t="shared" ca="1" si="156"/>
        <v>35234.344879603137</v>
      </c>
      <c r="O306" s="84">
        <f t="shared" ca="1" si="156"/>
        <v>40053.504474119429</v>
      </c>
      <c r="P306" s="84">
        <f t="shared" ca="1" si="156"/>
        <v>47691.363195463622</v>
      </c>
    </row>
    <row r="307" spans="2:16" ht="15.75">
      <c r="B307" s="7" t="s">
        <v>281</v>
      </c>
      <c r="D307" s="47"/>
      <c r="E307" s="47"/>
      <c r="F307" s="47"/>
      <c r="G307" s="47"/>
      <c r="J307" s="97"/>
      <c r="K307" s="98">
        <f t="shared" ref="K307:P307" ca="1" si="157">K314</f>
        <v>0</v>
      </c>
      <c r="L307" s="98">
        <f t="shared" ca="1" si="157"/>
        <v>0</v>
      </c>
      <c r="M307" s="98">
        <f t="shared" ca="1" si="157"/>
        <v>0</v>
      </c>
      <c r="N307" s="98">
        <f t="shared" ca="1" si="157"/>
        <v>0</v>
      </c>
      <c r="O307" s="98">
        <f t="shared" ca="1" si="157"/>
        <v>0</v>
      </c>
      <c r="P307" s="98">
        <f t="shared" si="157"/>
        <v>0</v>
      </c>
    </row>
    <row r="308" spans="2:16">
      <c r="B308" s="7" t="s">
        <v>282</v>
      </c>
      <c r="D308" s="47"/>
      <c r="E308" s="47"/>
      <c r="F308" s="47"/>
      <c r="G308" s="47"/>
      <c r="J308" s="97"/>
      <c r="K308" s="84">
        <f t="shared" ref="K308:P308" ca="1" si="158" xml:space="preserve"> MAX(SUM(K306:K307),0)</f>
        <v>22705.223029764449</v>
      </c>
      <c r="L308" s="84">
        <f t="shared" ca="1" si="158"/>
        <v>26744.014881611445</v>
      </c>
      <c r="M308" s="84">
        <f t="shared" ca="1" si="158"/>
        <v>30829.311027264397</v>
      </c>
      <c r="N308" s="84">
        <f t="shared" ca="1" si="158"/>
        <v>35234.344879603137</v>
      </c>
      <c r="O308" s="84">
        <f t="shared" ca="1" si="158"/>
        <v>40053.504474119429</v>
      </c>
      <c r="P308" s="84">
        <f t="shared" ca="1" si="158"/>
        <v>47691.363195463622</v>
      </c>
    </row>
    <row r="309" spans="2:16">
      <c r="B309" s="7"/>
      <c r="D309" s="47"/>
      <c r="E309" s="47"/>
      <c r="F309" s="47"/>
      <c r="G309" s="47"/>
      <c r="J309" s="97"/>
      <c r="K309" s="84"/>
      <c r="L309" s="84"/>
      <c r="M309" s="84"/>
      <c r="N309" s="84"/>
      <c r="O309" s="84"/>
    </row>
    <row r="310" spans="2:16">
      <c r="B310" s="94"/>
      <c r="C310" s="95"/>
      <c r="D310" s="47"/>
      <c r="E310" s="47"/>
      <c r="F310" s="47"/>
      <c r="G310" s="47"/>
      <c r="J310" s="97"/>
      <c r="K310" s="97"/>
      <c r="L310" s="97"/>
      <c r="M310" s="97"/>
      <c r="N310" s="97"/>
      <c r="O310" s="97"/>
    </row>
    <row r="311" spans="2:16">
      <c r="B311" s="37" t="s">
        <v>283</v>
      </c>
      <c r="C311" s="95"/>
      <c r="D311" s="47"/>
      <c r="E311" s="47"/>
      <c r="F311" s="47"/>
      <c r="G311" s="47"/>
      <c r="J311" s="97"/>
      <c r="K311" s="97"/>
      <c r="L311" s="97"/>
      <c r="M311" s="97"/>
      <c r="N311" s="97"/>
      <c r="O311" s="97"/>
    </row>
    <row r="312" spans="2:16">
      <c r="B312" s="7" t="s">
        <v>284</v>
      </c>
      <c r="D312" s="47"/>
      <c r="E312" s="47"/>
      <c r="F312" s="47"/>
      <c r="G312" s="47"/>
      <c r="J312" s="97"/>
      <c r="K312" s="84">
        <f>J315</f>
        <v>0</v>
      </c>
      <c r="L312" s="84">
        <f ca="1">K315</f>
        <v>0</v>
      </c>
      <c r="M312" s="84">
        <f ca="1">L315</f>
        <v>0</v>
      </c>
      <c r="N312" s="84">
        <f ca="1">M315</f>
        <v>0</v>
      </c>
      <c r="O312" s="84">
        <f ca="1">N315</f>
        <v>0</v>
      </c>
    </row>
    <row r="313" spans="2:16">
      <c r="B313" s="7" t="s">
        <v>285</v>
      </c>
      <c r="D313" s="47"/>
      <c r="E313" s="47"/>
      <c r="F313" s="47"/>
      <c r="G313" s="47"/>
      <c r="J313" s="97"/>
      <c r="K313" s="84">
        <f ca="1">-MIN(K299,0)</f>
        <v>0</v>
      </c>
      <c r="L313" s="84">
        <f ca="1">-MIN(L299,0)</f>
        <v>0</v>
      </c>
      <c r="M313" s="84">
        <f ca="1">-MIN(M299,0)</f>
        <v>0</v>
      </c>
      <c r="N313" s="84">
        <f ca="1">-MIN(N299,0)</f>
        <v>0</v>
      </c>
      <c r="O313" s="84">
        <f ca="1">-MIN(O299,0)</f>
        <v>0</v>
      </c>
    </row>
    <row r="314" spans="2:16">
      <c r="B314" s="7" t="s">
        <v>286</v>
      </c>
      <c r="D314" s="47"/>
      <c r="E314" s="47"/>
      <c r="F314" s="47"/>
      <c r="G314" s="47"/>
      <c r="J314" s="99"/>
      <c r="K314" s="98">
        <f ca="1">-MIN(K312,K306)*K292</f>
        <v>0</v>
      </c>
      <c r="L314" s="98">
        <f ca="1">-MIN(L312,L306)*L292</f>
        <v>0</v>
      </c>
      <c r="M314" s="98">
        <f ca="1">-MIN(M312,M306)*M292</f>
        <v>0</v>
      </c>
      <c r="N314" s="98">
        <f ca="1">-MIN(N312,N306)*N292</f>
        <v>0</v>
      </c>
      <c r="O314" s="98">
        <f ca="1">-MIN(O312,O306)*O292</f>
        <v>0</v>
      </c>
    </row>
    <row r="315" spans="2:16">
      <c r="B315" s="7" t="s">
        <v>287</v>
      </c>
      <c r="D315" s="47"/>
      <c r="E315" s="47"/>
      <c r="F315" s="47"/>
      <c r="G315" s="47"/>
      <c r="J315" s="100">
        <v>0</v>
      </c>
      <c r="K315" s="84">
        <f ca="1">SUM(K312:K314)</f>
        <v>0</v>
      </c>
      <c r="L315" s="84">
        <f ca="1">SUM(L312:L314)</f>
        <v>0</v>
      </c>
      <c r="M315" s="84">
        <f ca="1">SUM(M312:M314)</f>
        <v>0</v>
      </c>
      <c r="N315" s="84">
        <f ca="1">SUM(N312:N314)</f>
        <v>0</v>
      </c>
      <c r="O315" s="84">
        <f ca="1">SUM(O312:O314)</f>
        <v>0</v>
      </c>
    </row>
    <row r="316" spans="2:16">
      <c r="B316" s="101"/>
      <c r="C316" s="95"/>
      <c r="D316" s="47"/>
      <c r="E316" s="47"/>
      <c r="F316" s="47"/>
      <c r="G316" s="47"/>
      <c r="J316" s="100"/>
      <c r="K316" s="84"/>
      <c r="L316" s="84"/>
      <c r="M316" s="84"/>
      <c r="N316" s="84"/>
      <c r="O316" s="84"/>
    </row>
    <row r="317" spans="2:16">
      <c r="B317" s="101"/>
      <c r="C317" s="95"/>
      <c r="D317" s="47"/>
      <c r="E317" s="47"/>
      <c r="F317" s="47"/>
      <c r="G317" s="47"/>
      <c r="J317" s="100"/>
      <c r="K317" s="84"/>
      <c r="L317" s="84"/>
      <c r="M317" s="84"/>
      <c r="N317" s="84"/>
      <c r="O317" s="84"/>
    </row>
    <row r="318" spans="2:16">
      <c r="B318" s="217"/>
      <c r="C318" s="218"/>
      <c r="D318" s="219"/>
      <c r="E318" s="219"/>
      <c r="F318" s="219"/>
      <c r="G318" s="219"/>
      <c r="H318" s="130"/>
      <c r="I318" s="130"/>
      <c r="J318" s="220"/>
      <c r="K318" s="221"/>
      <c r="L318" s="221"/>
      <c r="M318" s="221"/>
      <c r="N318" s="221"/>
      <c r="O318" s="221"/>
      <c r="P318" s="130"/>
    </row>
    <row r="319" spans="2:16">
      <c r="B319" s="46" t="s">
        <v>80</v>
      </c>
      <c r="C319" s="95"/>
      <c r="D319" s="47"/>
      <c r="E319" s="47"/>
      <c r="F319" s="47"/>
      <c r="G319" s="47"/>
      <c r="J319" s="97"/>
      <c r="K319" s="97"/>
      <c r="L319" s="97"/>
      <c r="M319" s="97"/>
      <c r="N319" s="97"/>
      <c r="O319" s="97"/>
    </row>
    <row r="320" spans="2:16">
      <c r="B320" s="7" t="s">
        <v>288</v>
      </c>
      <c r="D320" s="47"/>
      <c r="E320" s="47"/>
      <c r="F320" s="102"/>
      <c r="G320" s="102"/>
      <c r="J320" s="84"/>
      <c r="K320" s="84">
        <f t="shared" ref="K320:P320" ca="1" si="159">K308*$D$294</f>
        <v>5562.7796422922902</v>
      </c>
      <c r="L320" s="84">
        <f t="shared" ca="1" si="159"/>
        <v>6552.2836459948039</v>
      </c>
      <c r="M320" s="84">
        <f t="shared" ca="1" si="159"/>
        <v>7553.1812016797776</v>
      </c>
      <c r="N320" s="84">
        <f t="shared" ca="1" si="159"/>
        <v>8632.4144955027677</v>
      </c>
      <c r="O320" s="84">
        <f t="shared" ca="1" si="159"/>
        <v>9813.1085961592598</v>
      </c>
      <c r="P320" s="84">
        <f t="shared" ca="1" si="159"/>
        <v>11684.383982888587</v>
      </c>
    </row>
    <row r="321" spans="1:16">
      <c r="B321" s="7" t="s">
        <v>110</v>
      </c>
      <c r="D321" s="47"/>
      <c r="E321" s="47"/>
      <c r="F321" s="47"/>
      <c r="G321" s="47"/>
      <c r="J321" s="97"/>
      <c r="K321" s="84">
        <f t="shared" ref="K321:P321" ca="1" si="160">K322-K320</f>
        <v>2095.5284980804699</v>
      </c>
      <c r="L321" s="84">
        <f t="shared" ca="1" si="160"/>
        <v>1738.3776493803462</v>
      </c>
      <c r="M321" s="84">
        <f t="shared" ca="1" si="160"/>
        <v>1418.2745965235499</v>
      </c>
      <c r="N321" s="84">
        <f t="shared" ca="1" si="160"/>
        <v>1095.1217104462921</v>
      </c>
      <c r="O321" s="84">
        <f t="shared" ca="1" si="160"/>
        <v>796.23427805838037</v>
      </c>
      <c r="P321" s="84">
        <f t="shared" ca="1" si="160"/>
        <v>0</v>
      </c>
    </row>
    <row r="322" spans="1:16">
      <c r="B322" s="11" t="s">
        <v>289</v>
      </c>
      <c r="D322" s="47"/>
      <c r="E322" s="47"/>
      <c r="F322" s="47"/>
      <c r="G322" s="47"/>
      <c r="J322" s="97"/>
      <c r="K322" s="228">
        <f ca="1">MAX(K299*$D$294,0)</f>
        <v>7658.3081403727601</v>
      </c>
      <c r="L322" s="228">
        <f t="shared" ref="L322:O322" ca="1" si="161">MAX(L299*$D$294,0)</f>
        <v>8290.6612953751501</v>
      </c>
      <c r="M322" s="228">
        <f t="shared" ca="1" si="161"/>
        <v>8971.4557982033275</v>
      </c>
      <c r="N322" s="228">
        <f ca="1">MAX(N299*$D$294,0)</f>
        <v>9727.5362059490599</v>
      </c>
      <c r="O322" s="228">
        <f t="shared" ca="1" si="161"/>
        <v>10609.34287421764</v>
      </c>
      <c r="P322" s="228">
        <f t="shared" ref="P322" ca="1" si="162">MAX(P299*$D$294,0)</f>
        <v>11684.383982888587</v>
      </c>
    </row>
    <row r="323" spans="1:16">
      <c r="B323" s="94"/>
      <c r="C323" s="95"/>
      <c r="D323" s="47"/>
      <c r="E323" s="47"/>
      <c r="F323" s="47"/>
      <c r="G323" s="47"/>
      <c r="J323" s="47"/>
      <c r="K323" s="62"/>
      <c r="L323" s="62"/>
      <c r="M323" s="62"/>
      <c r="N323" s="62"/>
      <c r="O323" s="62"/>
    </row>
    <row r="324" spans="1:16">
      <c r="B324" s="103"/>
      <c r="C324" s="103"/>
      <c r="D324" s="104"/>
      <c r="E324" s="104"/>
      <c r="F324" s="105"/>
      <c r="G324" s="105"/>
      <c r="J324" s="105"/>
      <c r="K324" s="106"/>
      <c r="L324" s="106"/>
      <c r="M324" s="106"/>
      <c r="N324" s="106"/>
      <c r="O324" s="107"/>
    </row>
    <row r="325" spans="1:16">
      <c r="B325" s="108"/>
      <c r="C325" s="95"/>
      <c r="D325" s="47"/>
      <c r="E325" s="47"/>
      <c r="F325" s="47"/>
      <c r="G325" s="47"/>
      <c r="J325" s="47"/>
      <c r="K325" s="62"/>
      <c r="L325" s="62"/>
      <c r="M325" s="62"/>
      <c r="N325" s="62"/>
      <c r="P325" s="79" t="s">
        <v>290</v>
      </c>
    </row>
    <row r="326" spans="1:16">
      <c r="B326" s="108"/>
      <c r="C326" s="95"/>
      <c r="D326" s="47"/>
      <c r="E326" s="47"/>
      <c r="F326" s="47"/>
      <c r="G326" s="47"/>
      <c r="J326" s="47"/>
      <c r="K326" s="62"/>
      <c r="L326" s="62"/>
      <c r="M326" s="62"/>
      <c r="N326" s="62"/>
      <c r="P326" s="80" t="s">
        <v>291</v>
      </c>
    </row>
    <row r="327" spans="1:16">
      <c r="B327" s="108"/>
      <c r="C327" s="95"/>
      <c r="D327" s="47"/>
      <c r="E327" s="47"/>
      <c r="F327" s="47"/>
      <c r="G327" s="47"/>
      <c r="H327" s="47"/>
      <c r="I327" s="62"/>
      <c r="J327" s="62"/>
      <c r="K327" s="62"/>
      <c r="L327" s="62"/>
      <c r="M327" s="80"/>
    </row>
    <row r="329" spans="1:16">
      <c r="A329" t="s">
        <v>95</v>
      </c>
      <c r="B329" s="356" t="s">
        <v>422</v>
      </c>
      <c r="C329" s="357"/>
      <c r="D329" s="357"/>
      <c r="E329" s="357"/>
      <c r="F329" s="357"/>
      <c r="G329" s="357"/>
      <c r="H329" s="357"/>
      <c r="I329" s="357"/>
      <c r="J329" s="357"/>
      <c r="K329" s="357"/>
      <c r="L329" s="357"/>
      <c r="M329" s="357"/>
      <c r="N329" s="357"/>
      <c r="O329" s="357"/>
      <c r="P329" s="356"/>
    </row>
    <row r="330" spans="1:16">
      <c r="B330" s="4" t="s">
        <v>1</v>
      </c>
    </row>
    <row r="331" spans="1:16">
      <c r="F331" s="3">
        <f>F289</f>
        <v>44592</v>
      </c>
      <c r="G331" s="3">
        <f t="shared" ref="G331:O331" si="163">G289</f>
        <v>44957</v>
      </c>
      <c r="H331" s="3">
        <f t="shared" si="163"/>
        <v>45322</v>
      </c>
      <c r="I331" s="3">
        <f t="shared" si="163"/>
        <v>45688</v>
      </c>
      <c r="J331" s="3">
        <f t="shared" si="163"/>
        <v>46053</v>
      </c>
      <c r="K331" s="2">
        <f t="shared" si="163"/>
        <v>46418</v>
      </c>
      <c r="L331" s="2">
        <f t="shared" si="163"/>
        <v>46783</v>
      </c>
      <c r="M331" s="2">
        <f t="shared" si="163"/>
        <v>47149</v>
      </c>
      <c r="N331" s="2">
        <f t="shared" si="163"/>
        <v>47514</v>
      </c>
      <c r="O331" s="2">
        <f t="shared" si="163"/>
        <v>47879</v>
      </c>
      <c r="P331" s="1" t="s">
        <v>0</v>
      </c>
    </row>
    <row r="333" spans="1:16">
      <c r="B333" t="s">
        <v>423</v>
      </c>
      <c r="K333" s="14">
        <f t="shared" ref="K333:P333" si="164">K11</f>
        <v>33743.79798750006</v>
      </c>
      <c r="L333" s="14">
        <f t="shared" si="164"/>
        <v>36359.363700575021</v>
      </c>
      <c r="M333" s="14">
        <f t="shared" si="164"/>
        <v>39163.892242042843</v>
      </c>
      <c r="N333" s="14">
        <f t="shared" si="164"/>
        <v>42270.714699729026</v>
      </c>
      <c r="O333" s="14">
        <f t="shared" si="164"/>
        <v>45717.506260233291</v>
      </c>
      <c r="P333" s="14">
        <f t="shared" si="164"/>
        <v>49547.213332296466</v>
      </c>
    </row>
    <row r="334" spans="1:16">
      <c r="B334" t="s">
        <v>272</v>
      </c>
      <c r="K334" s="86">
        <f t="shared" ref="K334:P334" si="165">IF(K348&gt;0,1,0)</f>
        <v>1</v>
      </c>
      <c r="L334" s="86">
        <f t="shared" ca="1" si="165"/>
        <v>1</v>
      </c>
      <c r="M334" s="86">
        <f t="shared" ca="1" si="165"/>
        <v>1</v>
      </c>
      <c r="N334" s="86">
        <f t="shared" ca="1" si="165"/>
        <v>1</v>
      </c>
      <c r="O334" s="86">
        <f t="shared" ca="1" si="165"/>
        <v>1</v>
      </c>
      <c r="P334" s="86">
        <f t="shared" si="165"/>
        <v>1</v>
      </c>
    </row>
    <row r="336" spans="1:16">
      <c r="B336" s="87" t="s">
        <v>273</v>
      </c>
      <c r="C336" s="88"/>
      <c r="D336" s="89">
        <f>'Drivers, Inputs and Outputs'!G20</f>
        <v>0.245</v>
      </c>
      <c r="E336" s="47"/>
      <c r="F336" s="47"/>
      <c r="G336" s="47"/>
      <c r="H336" s="47"/>
      <c r="I336" s="62"/>
      <c r="J336" s="62"/>
      <c r="K336" s="62"/>
      <c r="L336" s="62"/>
      <c r="M336" s="62"/>
    </row>
    <row r="337" spans="2:16">
      <c r="B337" s="90" t="s">
        <v>274</v>
      </c>
      <c r="C337" s="91"/>
      <c r="D337" s="92">
        <f ca="1">IF(O357=0,0,1)</f>
        <v>0</v>
      </c>
      <c r="E337" s="47"/>
      <c r="F337" s="84"/>
      <c r="G337" s="93"/>
      <c r="H337" s="84"/>
      <c r="I337" s="84"/>
      <c r="J337" s="84"/>
      <c r="K337" s="84"/>
      <c r="L337" s="84"/>
    </row>
    <row r="338" spans="2:16">
      <c r="B338" s="94"/>
      <c r="C338" s="95"/>
      <c r="D338" s="96"/>
      <c r="E338" s="47"/>
      <c r="F338" s="47"/>
      <c r="G338" s="47"/>
      <c r="H338" s="47"/>
      <c r="I338" s="62"/>
      <c r="J338" s="62"/>
      <c r="K338" s="62"/>
      <c r="L338" s="62"/>
      <c r="M338" s="62"/>
    </row>
    <row r="339" spans="2:16">
      <c r="B339" s="94"/>
      <c r="C339" s="95"/>
      <c r="D339" s="96"/>
      <c r="E339" s="47"/>
      <c r="F339" s="47"/>
      <c r="G339" s="47"/>
      <c r="H339" s="47"/>
      <c r="I339" s="62"/>
      <c r="J339" s="62"/>
      <c r="K339" s="62"/>
      <c r="L339" s="62"/>
      <c r="M339" s="62"/>
    </row>
    <row r="340" spans="2:16">
      <c r="B340" s="46" t="s">
        <v>275</v>
      </c>
      <c r="C340" s="95"/>
      <c r="D340" s="47"/>
      <c r="E340" s="47"/>
      <c r="F340" s="47"/>
      <c r="G340" s="47"/>
      <c r="H340" s="47"/>
      <c r="I340" s="62"/>
      <c r="J340" s="62"/>
      <c r="K340" s="62"/>
      <c r="L340" s="62"/>
      <c r="M340" s="62"/>
    </row>
    <row r="341" spans="2:16">
      <c r="B341" s="7" t="s">
        <v>276</v>
      </c>
      <c r="D341" s="47"/>
      <c r="E341" s="47"/>
      <c r="F341" s="47"/>
      <c r="G341" s="47"/>
      <c r="J341" s="84"/>
      <c r="K341" s="84">
        <f t="shared" ref="K341:P341" si="166">K333</f>
        <v>33743.79798750006</v>
      </c>
      <c r="L341" s="84">
        <f t="shared" si="166"/>
        <v>36359.363700575021</v>
      </c>
      <c r="M341" s="84">
        <f t="shared" si="166"/>
        <v>39163.892242042843</v>
      </c>
      <c r="N341" s="84">
        <f t="shared" si="166"/>
        <v>42270.714699729026</v>
      </c>
      <c r="O341" s="84">
        <f t="shared" si="166"/>
        <v>45717.506260233291</v>
      </c>
      <c r="P341" s="84">
        <f t="shared" si="166"/>
        <v>49547.213332296466</v>
      </c>
    </row>
    <row r="342" spans="2:16">
      <c r="B342" s="7" t="s">
        <v>277</v>
      </c>
      <c r="D342" s="47"/>
      <c r="E342" s="47"/>
      <c r="F342" s="47"/>
      <c r="G342" s="47"/>
      <c r="J342" s="97"/>
      <c r="K342" s="84">
        <f t="shared" ref="K342:P342" si="167">K245</f>
        <v>15634.25965234375</v>
      </c>
      <c r="L342" s="84">
        <f t="shared" ca="1" si="167"/>
        <v>18123.287554708331</v>
      </c>
      <c r="M342" s="84">
        <f t="shared" ca="1" si="167"/>
        <v>20829.446309766146</v>
      </c>
      <c r="N342" s="84">
        <f t="shared" ca="1" si="167"/>
        <v>23777.703285930282</v>
      </c>
      <c r="O342" s="84">
        <f t="shared" ca="1" si="167"/>
        <v>26989.375553026759</v>
      </c>
      <c r="P342" s="84">
        <f t="shared" si="167"/>
        <v>0</v>
      </c>
    </row>
    <row r="343" spans="2:16">
      <c r="B343" s="7" t="s">
        <v>278</v>
      </c>
      <c r="D343" s="47"/>
      <c r="E343" s="47"/>
      <c r="F343" s="47"/>
      <c r="G343" s="47"/>
      <c r="J343" s="97"/>
      <c r="K343" s="98">
        <f t="shared" ref="K343:P343" si="168">K279</f>
        <v>-24187.437195529339</v>
      </c>
      <c r="L343" s="98">
        <f t="shared" si="168"/>
        <v>-25218.706531770971</v>
      </c>
      <c r="M343" s="98">
        <f t="shared" si="168"/>
        <v>-26618.322213943902</v>
      </c>
      <c r="N343" s="98">
        <f t="shared" si="168"/>
        <v>-28247.587818364125</v>
      </c>
      <c r="O343" s="98">
        <f t="shared" si="168"/>
        <v>-30239.31138183648</v>
      </c>
      <c r="P343" s="98">
        <f t="shared" si="168"/>
        <v>0</v>
      </c>
    </row>
    <row r="344" spans="2:16">
      <c r="B344" s="7" t="s">
        <v>279</v>
      </c>
      <c r="D344" s="47"/>
      <c r="E344" s="47"/>
      <c r="F344" s="47"/>
      <c r="G344" s="47"/>
      <c r="J344" s="84"/>
      <c r="K344" s="84">
        <f t="shared" ref="K344:P344" si="169">SUM(K341:K343)</f>
        <v>25190.620444314474</v>
      </c>
      <c r="L344" s="84">
        <f t="shared" ca="1" si="169"/>
        <v>29263.944723512381</v>
      </c>
      <c r="M344" s="84">
        <f t="shared" ca="1" si="169"/>
        <v>33375.01633786509</v>
      </c>
      <c r="N344" s="84">
        <f t="shared" ca="1" si="169"/>
        <v>37800.830167295186</v>
      </c>
      <c r="O344" s="84">
        <f t="shared" ca="1" si="169"/>
        <v>42467.570431423577</v>
      </c>
      <c r="P344" s="84">
        <f t="shared" si="169"/>
        <v>49547.213332296466</v>
      </c>
    </row>
    <row r="345" spans="2:16">
      <c r="B345" s="7"/>
      <c r="D345" s="47"/>
      <c r="E345" s="47"/>
      <c r="F345" s="47"/>
      <c r="G345" s="47"/>
      <c r="J345" s="84"/>
      <c r="K345" s="84"/>
      <c r="L345" s="84"/>
      <c r="M345" s="84"/>
      <c r="N345" s="84"/>
      <c r="O345" s="84"/>
    </row>
    <row r="346" spans="2:16">
      <c r="B346" s="94"/>
      <c r="C346" s="95"/>
      <c r="D346" s="47"/>
      <c r="E346" s="47"/>
      <c r="F346" s="47"/>
      <c r="G346" s="47"/>
      <c r="J346" s="97"/>
      <c r="K346" s="84"/>
      <c r="L346" s="84"/>
      <c r="M346" s="84"/>
      <c r="N346" s="84"/>
      <c r="O346" s="84"/>
    </row>
    <row r="347" spans="2:16" ht="15.75">
      <c r="B347" s="37" t="s">
        <v>280</v>
      </c>
      <c r="C347" s="95"/>
      <c r="D347" s="47"/>
      <c r="E347" s="47"/>
      <c r="F347" s="47"/>
      <c r="G347" s="47"/>
      <c r="J347" s="97"/>
      <c r="K347" s="84"/>
      <c r="L347" s="84"/>
      <c r="M347" s="84"/>
      <c r="N347" s="84"/>
      <c r="O347" s="84"/>
    </row>
    <row r="348" spans="2:16">
      <c r="B348" s="7" t="s">
        <v>279</v>
      </c>
      <c r="D348" s="47"/>
      <c r="E348" s="47"/>
      <c r="F348" s="47"/>
      <c r="G348" s="47"/>
      <c r="J348" s="84"/>
      <c r="K348" s="84">
        <f t="shared" ref="K348:P348" si="170">K344</f>
        <v>25190.620444314474</v>
      </c>
      <c r="L348" s="84">
        <f t="shared" ca="1" si="170"/>
        <v>29263.944723512381</v>
      </c>
      <c r="M348" s="84">
        <f t="shared" ca="1" si="170"/>
        <v>33375.01633786509</v>
      </c>
      <c r="N348" s="84">
        <f t="shared" ca="1" si="170"/>
        <v>37800.830167295186</v>
      </c>
      <c r="O348" s="84">
        <f t="shared" ca="1" si="170"/>
        <v>42467.570431423577</v>
      </c>
      <c r="P348" s="84">
        <f t="shared" si="170"/>
        <v>49547.213332296466</v>
      </c>
    </row>
    <row r="349" spans="2:16" ht="15.75">
      <c r="B349" s="7" t="s">
        <v>281</v>
      </c>
      <c r="D349" s="47"/>
      <c r="E349" s="47"/>
      <c r="F349" s="47"/>
      <c r="G349" s="47"/>
      <c r="J349" s="97"/>
      <c r="K349" s="98">
        <f t="shared" ref="K349:P349" si="171">K356</f>
        <v>0</v>
      </c>
      <c r="L349" s="98">
        <f t="shared" ca="1" si="171"/>
        <v>0</v>
      </c>
      <c r="M349" s="98">
        <f t="shared" ca="1" si="171"/>
        <v>0</v>
      </c>
      <c r="N349" s="98">
        <f t="shared" ca="1" si="171"/>
        <v>0</v>
      </c>
      <c r="O349" s="98">
        <f t="shared" ca="1" si="171"/>
        <v>0</v>
      </c>
      <c r="P349" s="98">
        <f t="shared" si="171"/>
        <v>0</v>
      </c>
    </row>
    <row r="350" spans="2:16">
      <c r="B350" s="7" t="s">
        <v>282</v>
      </c>
      <c r="D350" s="47"/>
      <c r="E350" s="47"/>
      <c r="F350" s="47"/>
      <c r="G350" s="47"/>
      <c r="J350" s="97"/>
      <c r="K350" s="84">
        <f t="shared" ref="K350:P350" si="172" xml:space="preserve"> MAX(SUM(K348:K349),0)</f>
        <v>25190.620444314474</v>
      </c>
      <c r="L350" s="84">
        <f t="shared" ca="1" si="172"/>
        <v>29263.944723512381</v>
      </c>
      <c r="M350" s="84">
        <f t="shared" ca="1" si="172"/>
        <v>33375.01633786509</v>
      </c>
      <c r="N350" s="84">
        <f t="shared" ca="1" si="172"/>
        <v>37800.830167295186</v>
      </c>
      <c r="O350" s="84">
        <f t="shared" ca="1" si="172"/>
        <v>42467.570431423577</v>
      </c>
      <c r="P350" s="84">
        <f t="shared" si="172"/>
        <v>49547.213332296466</v>
      </c>
    </row>
    <row r="351" spans="2:16">
      <c r="B351" s="7"/>
      <c r="D351" s="47"/>
      <c r="E351" s="47"/>
      <c r="F351" s="47"/>
      <c r="G351" s="47"/>
      <c r="J351" s="97"/>
      <c r="K351" s="84"/>
      <c r="L351" s="84"/>
      <c r="M351" s="84"/>
      <c r="N351" s="84"/>
      <c r="O351" s="84"/>
    </row>
    <row r="352" spans="2:16">
      <c r="B352" s="94"/>
      <c r="C352" s="95"/>
      <c r="D352" s="47"/>
      <c r="E352" s="47"/>
      <c r="F352" s="47"/>
      <c r="G352" s="47"/>
      <c r="J352" s="97"/>
      <c r="K352" s="97"/>
      <c r="L352" s="97"/>
      <c r="M352" s="97"/>
      <c r="N352" s="97"/>
      <c r="O352" s="97"/>
    </row>
    <row r="353" spans="2:16">
      <c r="B353" s="37" t="s">
        <v>283</v>
      </c>
      <c r="C353" s="95"/>
      <c r="D353" s="47"/>
      <c r="E353" s="47"/>
      <c r="F353" s="47"/>
      <c r="G353" s="47"/>
      <c r="J353" s="97"/>
      <c r="K353" s="97"/>
      <c r="L353" s="97"/>
      <c r="M353" s="97"/>
      <c r="N353" s="97"/>
      <c r="O353" s="97"/>
    </row>
    <row r="354" spans="2:16">
      <c r="B354" s="7" t="s">
        <v>284</v>
      </c>
      <c r="D354" s="47"/>
      <c r="E354" s="47"/>
      <c r="F354" s="47"/>
      <c r="G354" s="47"/>
      <c r="J354" s="97"/>
      <c r="K354" s="84">
        <f>J357</f>
        <v>0</v>
      </c>
      <c r="L354" s="84">
        <f>K357</f>
        <v>0</v>
      </c>
      <c r="M354" s="84">
        <f ca="1">L357</f>
        <v>0</v>
      </c>
      <c r="N354" s="84">
        <f ca="1">M357</f>
        <v>0</v>
      </c>
      <c r="O354" s="84">
        <f ca="1">N357</f>
        <v>0</v>
      </c>
    </row>
    <row r="355" spans="2:16">
      <c r="B355" s="7" t="s">
        <v>285</v>
      </c>
      <c r="D355" s="47"/>
      <c r="E355" s="47"/>
      <c r="F355" s="47"/>
      <c r="G355" s="47"/>
      <c r="J355" s="97"/>
      <c r="K355" s="84">
        <f>-MIN(K341,0)</f>
        <v>0</v>
      </c>
      <c r="L355" s="84">
        <f>-MIN(L341,0)</f>
        <v>0</v>
      </c>
      <c r="M355" s="84">
        <f>-MIN(M341,0)</f>
        <v>0</v>
      </c>
      <c r="N355" s="84">
        <f>-MIN(N341,0)</f>
        <v>0</v>
      </c>
      <c r="O355" s="84">
        <f>-MIN(O341,0)</f>
        <v>0</v>
      </c>
    </row>
    <row r="356" spans="2:16">
      <c r="B356" s="7" t="s">
        <v>286</v>
      </c>
      <c r="D356" s="47"/>
      <c r="E356" s="47"/>
      <c r="F356" s="47"/>
      <c r="G356" s="47"/>
      <c r="J356" s="99"/>
      <c r="K356" s="98">
        <f>-MIN(K354,K348)*K334</f>
        <v>0</v>
      </c>
      <c r="L356" s="98">
        <f ca="1">-MIN(L354,L348)*L334</f>
        <v>0</v>
      </c>
      <c r="M356" s="98">
        <f ca="1">-MIN(M354,M348)*M334</f>
        <v>0</v>
      </c>
      <c r="N356" s="98">
        <f ca="1">-MIN(N354,N348)*N334</f>
        <v>0</v>
      </c>
      <c r="O356" s="98">
        <f ca="1">-MIN(O354,O348)*O334</f>
        <v>0</v>
      </c>
    </row>
    <row r="357" spans="2:16">
      <c r="B357" s="7" t="s">
        <v>287</v>
      </c>
      <c r="D357" s="47"/>
      <c r="E357" s="47"/>
      <c r="F357" s="47"/>
      <c r="G357" s="47"/>
      <c r="J357" s="100">
        <v>0</v>
      </c>
      <c r="K357" s="84">
        <f>SUM(K354:K356)</f>
        <v>0</v>
      </c>
      <c r="L357" s="84">
        <f ca="1">SUM(L354:L356)</f>
        <v>0</v>
      </c>
      <c r="M357" s="84">
        <f ca="1">SUM(M354:M356)</f>
        <v>0</v>
      </c>
      <c r="N357" s="84">
        <f ca="1">SUM(N354:N356)</f>
        <v>0</v>
      </c>
      <c r="O357" s="84">
        <f ca="1">SUM(O354:O356)</f>
        <v>0</v>
      </c>
    </row>
    <row r="358" spans="2:16">
      <c r="B358" s="7"/>
      <c r="D358" s="47"/>
      <c r="E358" s="47"/>
      <c r="F358" s="47"/>
      <c r="G358" s="47"/>
      <c r="J358" s="100"/>
      <c r="K358" s="84"/>
      <c r="L358" s="84"/>
      <c r="M358" s="84"/>
      <c r="N358" s="84"/>
      <c r="O358" s="84"/>
    </row>
    <row r="359" spans="2:16">
      <c r="B359" s="101"/>
      <c r="C359" s="95"/>
      <c r="D359" s="47"/>
      <c r="E359" s="47"/>
      <c r="F359" s="47"/>
      <c r="G359" s="47"/>
      <c r="J359" s="100"/>
      <c r="K359" s="84"/>
      <c r="L359" s="84"/>
      <c r="M359" s="84"/>
      <c r="N359" s="84"/>
      <c r="O359" s="84"/>
    </row>
    <row r="360" spans="2:16">
      <c r="B360" s="217"/>
      <c r="C360" s="218"/>
      <c r="D360" s="219"/>
      <c r="E360" s="219"/>
      <c r="F360" s="219"/>
      <c r="G360" s="219"/>
      <c r="H360" s="130"/>
      <c r="I360" s="130"/>
      <c r="J360" s="220"/>
      <c r="K360" s="221"/>
      <c r="L360" s="221"/>
      <c r="M360" s="221"/>
      <c r="N360" s="221"/>
      <c r="O360" s="221"/>
      <c r="P360" s="130"/>
    </row>
    <row r="361" spans="2:16">
      <c r="B361" s="46" t="s">
        <v>80</v>
      </c>
      <c r="C361" s="95"/>
      <c r="D361" s="47"/>
      <c r="E361" s="47"/>
      <c r="F361" s="47"/>
      <c r="G361" s="47"/>
      <c r="J361" s="97"/>
      <c r="K361" s="97"/>
      <c r="L361" s="97"/>
      <c r="M361" s="97"/>
      <c r="N361" s="97"/>
      <c r="O361" s="97"/>
    </row>
    <row r="362" spans="2:16">
      <c r="B362" s="7" t="s">
        <v>288</v>
      </c>
      <c r="D362" s="47"/>
      <c r="E362" s="47"/>
      <c r="F362" s="102"/>
      <c r="G362" s="102"/>
      <c r="J362" s="84"/>
      <c r="K362" s="84">
        <f t="shared" ref="K362:P362" si="173">K350*$D$336</f>
        <v>6171.7020088570462</v>
      </c>
      <c r="L362" s="84">
        <f t="shared" ca="1" si="173"/>
        <v>7169.6664572605332</v>
      </c>
      <c r="M362" s="84">
        <f t="shared" ca="1" si="173"/>
        <v>8176.8790027769473</v>
      </c>
      <c r="N362" s="84">
        <f t="shared" ca="1" si="173"/>
        <v>9261.2033909873207</v>
      </c>
      <c r="O362" s="84">
        <f t="shared" ca="1" si="173"/>
        <v>10404.554755698777</v>
      </c>
      <c r="P362" s="84">
        <f t="shared" si="173"/>
        <v>12139.067266412634</v>
      </c>
    </row>
    <row r="363" spans="2:16">
      <c r="B363" s="7" t="s">
        <v>110</v>
      </c>
      <c r="D363" s="47"/>
      <c r="E363" s="47"/>
      <c r="F363" s="47"/>
      <c r="G363" s="47"/>
      <c r="J363" s="97"/>
      <c r="K363" s="84">
        <f t="shared" ref="K363:P363" si="174">K364-K362</f>
        <v>2095.5284980804681</v>
      </c>
      <c r="L363" s="84">
        <f t="shared" ca="1" si="174"/>
        <v>1738.3776493803471</v>
      </c>
      <c r="M363" s="84">
        <f t="shared" ca="1" si="174"/>
        <v>1418.274596523549</v>
      </c>
      <c r="N363" s="84">
        <f t="shared" ca="1" si="174"/>
        <v>1095.1217104462903</v>
      </c>
      <c r="O363" s="84">
        <f t="shared" ca="1" si="174"/>
        <v>796.23427805837855</v>
      </c>
      <c r="P363" s="84">
        <f t="shared" si="174"/>
        <v>0</v>
      </c>
    </row>
    <row r="364" spans="2:16">
      <c r="B364" s="11" t="s">
        <v>289</v>
      </c>
      <c r="D364" s="47"/>
      <c r="E364" s="47"/>
      <c r="F364" s="47"/>
      <c r="G364" s="47"/>
      <c r="J364" s="97"/>
      <c r="K364" s="228">
        <f>MAX(K341*$D$336,0)</f>
        <v>8267.2305069375143</v>
      </c>
      <c r="L364" s="228">
        <f t="shared" ref="L364:O364" si="175">MAX(L341*$D$336,0)</f>
        <v>8908.0441066408803</v>
      </c>
      <c r="M364" s="228">
        <f t="shared" si="175"/>
        <v>9595.1535993004964</v>
      </c>
      <c r="N364" s="228">
        <f t="shared" si="175"/>
        <v>10356.325101433611</v>
      </c>
      <c r="O364" s="228">
        <f t="shared" si="175"/>
        <v>11200.789033757155</v>
      </c>
      <c r="P364" s="228">
        <f t="shared" ref="P364" si="176">MAX(P341*$D$336,0)</f>
        <v>12139.067266412634</v>
      </c>
    </row>
    <row r="365" spans="2:16">
      <c r="B365" s="94"/>
      <c r="C365" s="95"/>
      <c r="D365" s="47"/>
      <c r="E365" s="47"/>
      <c r="F365" s="47"/>
      <c r="G365" s="47"/>
      <c r="J365" s="47"/>
      <c r="K365" s="62"/>
      <c r="L365" s="62"/>
      <c r="M365" s="62"/>
      <c r="N365" s="62"/>
      <c r="O365" s="62"/>
    </row>
    <row r="366" spans="2:16">
      <c r="B366" s="103"/>
      <c r="C366" s="103"/>
      <c r="D366" s="104"/>
      <c r="E366" s="104"/>
      <c r="F366" s="105"/>
      <c r="G366" s="105"/>
      <c r="J366" s="105"/>
      <c r="K366" s="106"/>
      <c r="L366" s="106"/>
      <c r="M366" s="106"/>
      <c r="N366" s="106"/>
      <c r="O366" s="107"/>
    </row>
    <row r="367" spans="2:16">
      <c r="B367" s="108"/>
      <c r="C367" s="95"/>
      <c r="D367" s="47"/>
      <c r="E367" s="47"/>
      <c r="F367" s="47"/>
      <c r="G367" s="47"/>
      <c r="J367" s="47"/>
      <c r="K367" s="62"/>
      <c r="L367" s="62"/>
      <c r="M367" s="62"/>
      <c r="N367" s="62"/>
      <c r="P367" s="79" t="s">
        <v>290</v>
      </c>
    </row>
    <row r="368" spans="2:16">
      <c r="B368" s="108"/>
      <c r="C368" s="95"/>
      <c r="D368" s="47"/>
      <c r="E368" s="47"/>
      <c r="F368" s="47"/>
      <c r="G368" s="47"/>
      <c r="J368" s="47"/>
      <c r="K368" s="62"/>
      <c r="L368" s="62"/>
      <c r="M368" s="62"/>
      <c r="N368" s="62"/>
      <c r="P368" s="80" t="s">
        <v>291</v>
      </c>
    </row>
    <row r="371" spans="1:18">
      <c r="A371" t="s">
        <v>95</v>
      </c>
      <c r="B371" s="356" t="s">
        <v>292</v>
      </c>
      <c r="C371" s="357"/>
      <c r="D371" s="357"/>
      <c r="E371" s="357"/>
      <c r="F371" s="357"/>
      <c r="G371" s="357"/>
      <c r="H371" s="357"/>
      <c r="I371" s="357"/>
      <c r="J371" s="357"/>
      <c r="K371" s="357"/>
      <c r="L371" s="357"/>
      <c r="M371" s="357"/>
      <c r="N371" s="357"/>
      <c r="O371" s="357"/>
      <c r="P371" s="356"/>
    </row>
    <row r="372" spans="1:18">
      <c r="B372" s="4" t="s">
        <v>1</v>
      </c>
    </row>
    <row r="373" spans="1:18">
      <c r="F373" s="3">
        <f>F331</f>
        <v>44592</v>
      </c>
      <c r="G373" s="3">
        <f t="shared" ref="G373:P373" si="177">G331</f>
        <v>44957</v>
      </c>
      <c r="H373" s="3">
        <f t="shared" si="177"/>
        <v>45322</v>
      </c>
      <c r="I373" s="3">
        <f t="shared" si="177"/>
        <v>45688</v>
      </c>
      <c r="J373" s="3">
        <f t="shared" si="177"/>
        <v>46053</v>
      </c>
      <c r="K373" s="2">
        <f t="shared" si="177"/>
        <v>46418</v>
      </c>
      <c r="L373" s="2">
        <f t="shared" si="177"/>
        <v>46783</v>
      </c>
      <c r="M373" s="2">
        <f t="shared" si="177"/>
        <v>47149</v>
      </c>
      <c r="N373" s="2">
        <f t="shared" si="177"/>
        <v>47514</v>
      </c>
      <c r="O373" s="2">
        <f t="shared" si="177"/>
        <v>47879</v>
      </c>
      <c r="P373" s="1" t="str">
        <f t="shared" si="177"/>
        <v>Term</v>
      </c>
    </row>
    <row r="375" spans="1:18">
      <c r="B375" s="46" t="s">
        <v>293</v>
      </c>
      <c r="C375" s="95"/>
      <c r="D375" s="47"/>
      <c r="E375" s="47"/>
      <c r="F375" s="47"/>
      <c r="G375" s="47"/>
      <c r="H375" s="47"/>
      <c r="I375" s="62"/>
      <c r="J375" s="62"/>
      <c r="K375" s="62"/>
      <c r="L375" s="62"/>
      <c r="M375" s="62"/>
    </row>
    <row r="376" spans="1:18">
      <c r="B376" s="7" t="s">
        <v>294</v>
      </c>
      <c r="D376" s="47"/>
      <c r="E376" s="47"/>
      <c r="F376" s="47"/>
      <c r="G376" s="47"/>
      <c r="J376" s="109"/>
      <c r="K376" s="109">
        <f t="shared" ref="K376:L376" si="178">J378</f>
        <v>10727</v>
      </c>
      <c r="L376" s="109">
        <f t="shared" ca="1" si="178"/>
        <v>11350.862025713206</v>
      </c>
      <c r="M376" s="109">
        <f ca="1">L378</f>
        <v>12966.871891374929</v>
      </c>
      <c r="N376" s="109">
        <f ca="1">M378</f>
        <v>15170.841289603708</v>
      </c>
      <c r="O376" s="109">
        <f ca="1">N378</f>
        <v>17468.736561053429</v>
      </c>
      <c r="P376" s="109">
        <f ca="1">O378</f>
        <v>29666.70646669465</v>
      </c>
    </row>
    <row r="377" spans="1:18">
      <c r="B377" s="7" t="s">
        <v>295</v>
      </c>
      <c r="D377" s="47"/>
      <c r="E377" s="47"/>
      <c r="F377" s="47"/>
      <c r="G377" s="47"/>
      <c r="J377" s="110"/>
      <c r="K377" s="111">
        <f t="shared" ref="K377:P377" ca="1" si="179">K70</f>
        <v>623.86202571320609</v>
      </c>
      <c r="L377" s="111">
        <f t="shared" ca="1" si="179"/>
        <v>1616.0098656617229</v>
      </c>
      <c r="M377" s="111">
        <f t="shared" ca="1" si="179"/>
        <v>2203.969398228779</v>
      </c>
      <c r="N377" s="111">
        <f t="shared" ca="1" si="179"/>
        <v>2297.8952714497209</v>
      </c>
      <c r="O377" s="111">
        <f t="shared" ca="1" si="179"/>
        <v>12197.969905641221</v>
      </c>
      <c r="P377" s="111">
        <f t="shared" si="179"/>
        <v>0</v>
      </c>
    </row>
    <row r="378" spans="1:18">
      <c r="B378" s="7" t="s">
        <v>296</v>
      </c>
      <c r="D378" s="47"/>
      <c r="E378" s="47"/>
      <c r="F378" s="47"/>
      <c r="G378" s="47"/>
      <c r="J378" s="109">
        <f>J81</f>
        <v>10727</v>
      </c>
      <c r="K378" s="109">
        <f t="shared" ref="K378" ca="1" si="180">SUM(K376:K377)</f>
        <v>11350.862025713206</v>
      </c>
      <c r="L378" s="109">
        <f ca="1">SUM(L376:L377)</f>
        <v>12966.871891374929</v>
      </c>
      <c r="M378" s="109">
        <f ca="1">SUM(M376:M377)</f>
        <v>15170.841289603708</v>
      </c>
      <c r="N378" s="109">
        <f ca="1">SUM(N376:N377)</f>
        <v>17468.736561053429</v>
      </c>
      <c r="O378" s="109">
        <f ca="1">SUM(O376:O377)</f>
        <v>29666.70646669465</v>
      </c>
      <c r="P378" s="109">
        <f ca="1">SUM(P376:P377)</f>
        <v>29666.70646669465</v>
      </c>
    </row>
    <row r="379" spans="1:18">
      <c r="B379" s="7"/>
      <c r="J379" s="112"/>
      <c r="K379" s="112"/>
      <c r="L379" s="112"/>
      <c r="M379" s="112"/>
      <c r="N379" s="112"/>
      <c r="O379" s="112"/>
    </row>
    <row r="380" spans="1:18">
      <c r="B380" s="7" t="s">
        <v>165</v>
      </c>
      <c r="D380" s="47"/>
      <c r="E380" s="47"/>
      <c r="F380" s="109"/>
      <c r="G380" s="47"/>
      <c r="J380" s="113"/>
      <c r="K380" s="114">
        <v>1.7500000000000002E-2</v>
      </c>
      <c r="L380" s="114">
        <f>K380</f>
        <v>1.7500000000000002E-2</v>
      </c>
      <c r="M380" s="114">
        <f>L380</f>
        <v>1.7500000000000002E-2</v>
      </c>
      <c r="N380" s="114">
        <f>M380</f>
        <v>1.7500000000000002E-2</v>
      </c>
      <c r="O380" s="114">
        <f>N380</f>
        <v>1.7500000000000002E-2</v>
      </c>
      <c r="P380" s="114">
        <f>O380</f>
        <v>1.7500000000000002E-2</v>
      </c>
      <c r="R380" s="180" t="s">
        <v>427</v>
      </c>
    </row>
    <row r="381" spans="1:18">
      <c r="B381" s="11" t="s">
        <v>85</v>
      </c>
      <c r="F381" s="109"/>
      <c r="G381" s="115"/>
      <c r="J381" s="112"/>
      <c r="K381" s="215">
        <f ca="1">K378*K380</f>
        <v>198.64008544998111</v>
      </c>
      <c r="L381" s="215">
        <f t="shared" ref="L381:P381" ca="1" si="181">L378*L380</f>
        <v>226.92025809906127</v>
      </c>
      <c r="M381" s="215">
        <f t="shared" ca="1" si="181"/>
        <v>265.48972256806491</v>
      </c>
      <c r="N381" s="215">
        <f t="shared" ca="1" si="181"/>
        <v>305.70288981843504</v>
      </c>
      <c r="O381" s="215">
        <f t="shared" ca="1" si="181"/>
        <v>519.1673631671564</v>
      </c>
      <c r="P381" s="215">
        <f t="shared" ca="1" si="181"/>
        <v>519.1673631671564</v>
      </c>
    </row>
    <row r="382" spans="1:18">
      <c r="B382" s="11"/>
      <c r="F382" s="109"/>
      <c r="G382" s="115"/>
      <c r="J382" s="112"/>
      <c r="K382" s="215"/>
      <c r="L382" s="215"/>
      <c r="M382" s="215"/>
      <c r="N382" s="215"/>
      <c r="O382" s="215"/>
      <c r="P382" s="215"/>
    </row>
    <row r="384" spans="1:18">
      <c r="B384" s="130"/>
      <c r="C384" s="130"/>
      <c r="D384" s="130"/>
      <c r="E384" s="130"/>
      <c r="F384" s="130"/>
      <c r="G384" s="130"/>
      <c r="H384" s="130"/>
      <c r="I384" s="130"/>
      <c r="J384" s="130"/>
      <c r="K384" s="130"/>
      <c r="L384" s="130"/>
      <c r="M384" s="130"/>
      <c r="N384" s="130"/>
      <c r="O384" s="130"/>
      <c r="P384" s="130"/>
    </row>
    <row r="385" spans="2:24">
      <c r="B385" s="46" t="s">
        <v>297</v>
      </c>
      <c r="C385" s="95"/>
      <c r="D385" s="47"/>
      <c r="E385" s="47"/>
      <c r="F385" s="47"/>
      <c r="G385" s="47"/>
      <c r="J385" s="47"/>
      <c r="K385" s="62"/>
      <c r="L385" s="62"/>
      <c r="M385" s="62"/>
      <c r="N385" s="62"/>
      <c r="O385" s="62"/>
    </row>
    <row r="386" spans="2:24">
      <c r="B386" s="7" t="s">
        <v>294</v>
      </c>
      <c r="D386" s="47"/>
      <c r="E386" s="47"/>
      <c r="F386" s="47"/>
      <c r="G386" s="47"/>
      <c r="J386" s="117"/>
      <c r="K386" s="109">
        <f t="shared" ref="K386:P386" si="182">J388</f>
        <v>38166</v>
      </c>
      <c r="L386" s="109">
        <f t="shared" si="182"/>
        <v>39051.5</v>
      </c>
      <c r="M386" s="109">
        <f t="shared" si="182"/>
        <v>39860.75</v>
      </c>
      <c r="N386" s="109">
        <f t="shared" si="182"/>
        <v>40708</v>
      </c>
      <c r="O386" s="109">
        <f t="shared" si="182"/>
        <v>41243.75</v>
      </c>
      <c r="P386" s="109">
        <f t="shared" si="182"/>
        <v>41893.75</v>
      </c>
    </row>
    <row r="387" spans="2:24">
      <c r="B387" s="7" t="s">
        <v>295</v>
      </c>
      <c r="D387" s="47"/>
      <c r="E387" s="47"/>
      <c r="F387" s="47"/>
      <c r="G387" s="47"/>
      <c r="J387" s="118"/>
      <c r="K387" s="119">
        <f>SUM(K568*-1,K569)</f>
        <v>885.5</v>
      </c>
      <c r="L387" s="119">
        <f t="shared" ref="L387:P387" si="183">SUM(L568*-1,L569)</f>
        <v>809.25</v>
      </c>
      <c r="M387" s="119">
        <f t="shared" si="183"/>
        <v>847.25</v>
      </c>
      <c r="N387" s="119">
        <f t="shared" si="183"/>
        <v>535.75</v>
      </c>
      <c r="O387" s="119">
        <f t="shared" si="183"/>
        <v>650</v>
      </c>
      <c r="P387" s="119">
        <f t="shared" si="183"/>
        <v>0</v>
      </c>
      <c r="T387" s="185"/>
      <c r="U387" s="185"/>
      <c r="V387" s="185"/>
      <c r="W387" s="185"/>
      <c r="X387" s="185"/>
    </row>
    <row r="388" spans="2:24">
      <c r="B388" s="7" t="s">
        <v>296</v>
      </c>
      <c r="D388" s="47"/>
      <c r="E388" s="47"/>
      <c r="F388" s="47"/>
      <c r="G388" s="47"/>
      <c r="J388" s="109">
        <f>J101</f>
        <v>38166</v>
      </c>
      <c r="K388" s="109">
        <f t="shared" ref="K388:P388" si="184">SUM(K386:K387)</f>
        <v>39051.5</v>
      </c>
      <c r="L388" s="109">
        <f t="shared" si="184"/>
        <v>39860.75</v>
      </c>
      <c r="M388" s="109">
        <f t="shared" si="184"/>
        <v>40708</v>
      </c>
      <c r="N388" s="109">
        <f t="shared" si="184"/>
        <v>41243.75</v>
      </c>
      <c r="O388" s="109">
        <f t="shared" si="184"/>
        <v>41893.75</v>
      </c>
      <c r="P388" s="109">
        <f t="shared" si="184"/>
        <v>41893.75</v>
      </c>
    </row>
    <row r="389" spans="2:24">
      <c r="B389" s="7"/>
      <c r="J389" s="120"/>
      <c r="K389" s="120"/>
      <c r="L389" s="120"/>
      <c r="M389" s="120"/>
      <c r="N389" s="120"/>
      <c r="O389" s="120"/>
      <c r="P389" s="120"/>
    </row>
    <row r="390" spans="2:24">
      <c r="B390" s="7" t="s">
        <v>165</v>
      </c>
      <c r="D390" s="47"/>
      <c r="E390" s="47"/>
      <c r="F390" s="47"/>
      <c r="G390" s="47"/>
      <c r="J390" s="121"/>
      <c r="K390" s="122">
        <f>'Drivers, Inputs and Outputs'!G32</f>
        <v>0.05</v>
      </c>
      <c r="L390" s="122">
        <f>K390</f>
        <v>0.05</v>
      </c>
      <c r="M390" s="122">
        <f>L390</f>
        <v>0.05</v>
      </c>
      <c r="N390" s="122">
        <f>M390</f>
        <v>0.05</v>
      </c>
      <c r="O390" s="122">
        <f>N390</f>
        <v>0.05</v>
      </c>
      <c r="P390" s="122">
        <f>O390</f>
        <v>0.05</v>
      </c>
    </row>
    <row r="391" spans="2:24">
      <c r="B391" s="11" t="s">
        <v>298</v>
      </c>
      <c r="J391" s="120"/>
      <c r="K391" s="215">
        <f t="shared" ref="K391:P391" si="185">AVERAGE(K386,K388)*K390</f>
        <v>1930.4375</v>
      </c>
      <c r="L391" s="215">
        <f t="shared" si="185"/>
        <v>1972.8062500000001</v>
      </c>
      <c r="M391" s="215">
        <f t="shared" si="185"/>
        <v>2014.21875</v>
      </c>
      <c r="N391" s="215">
        <f t="shared" si="185"/>
        <v>2048.7937500000003</v>
      </c>
      <c r="O391" s="215">
        <f t="shared" si="185"/>
        <v>2078.4375</v>
      </c>
      <c r="P391" s="215">
        <f t="shared" si="185"/>
        <v>2094.6875</v>
      </c>
    </row>
    <row r="392" spans="2:24">
      <c r="B392" s="11"/>
      <c r="J392" s="120"/>
      <c r="K392" s="215"/>
      <c r="L392" s="215"/>
      <c r="M392" s="215"/>
      <c r="N392" s="215"/>
      <c r="O392" s="215"/>
      <c r="P392" s="215"/>
    </row>
    <row r="393" spans="2:24">
      <c r="B393" s="5" t="s">
        <v>26</v>
      </c>
    </row>
    <row r="394" spans="2:24">
      <c r="B394" s="7" t="s">
        <v>294</v>
      </c>
      <c r="D394" s="47"/>
      <c r="E394" s="47"/>
      <c r="F394" s="47"/>
      <c r="G394" s="47"/>
      <c r="J394" s="117"/>
      <c r="K394" s="109">
        <f t="shared" ref="K394:P394" si="186">J396</f>
        <v>6596</v>
      </c>
      <c r="L394" s="109">
        <f t="shared" si="186"/>
        <v>6596</v>
      </c>
      <c r="M394" s="109">
        <f t="shared" si="186"/>
        <v>6596</v>
      </c>
      <c r="N394" s="109">
        <f t="shared" si="186"/>
        <v>6596</v>
      </c>
      <c r="O394" s="109">
        <f t="shared" si="186"/>
        <v>6596</v>
      </c>
      <c r="P394" s="109">
        <f t="shared" si="186"/>
        <v>6596</v>
      </c>
      <c r="R394" s="180" t="s">
        <v>514</v>
      </c>
    </row>
    <row r="395" spans="2:24">
      <c r="B395" s="7" t="s">
        <v>295</v>
      </c>
      <c r="D395" s="47"/>
      <c r="E395" s="47"/>
      <c r="F395" s="47"/>
      <c r="G395" s="47"/>
      <c r="J395" s="118"/>
      <c r="K395" s="119">
        <v>0</v>
      </c>
      <c r="L395" s="119">
        <v>0</v>
      </c>
      <c r="M395" s="119">
        <v>0</v>
      </c>
      <c r="N395" s="119">
        <v>0</v>
      </c>
      <c r="O395" s="119">
        <v>0</v>
      </c>
      <c r="P395" s="119">
        <v>0</v>
      </c>
    </row>
    <row r="396" spans="2:24">
      <c r="B396" s="7" t="s">
        <v>296</v>
      </c>
      <c r="D396" s="47"/>
      <c r="E396" s="47"/>
      <c r="F396" s="47"/>
      <c r="G396" s="47"/>
      <c r="J396" s="109">
        <f>J95</f>
        <v>6596</v>
      </c>
      <c r="K396" s="109">
        <f t="shared" ref="K396" si="187">SUM(K394:K395)</f>
        <v>6596</v>
      </c>
      <c r="L396" s="109">
        <f t="shared" ref="L396" si="188">SUM(L394:L395)</f>
        <v>6596</v>
      </c>
      <c r="M396" s="109">
        <f t="shared" ref="M396" si="189">SUM(M394:M395)</f>
        <v>6596</v>
      </c>
      <c r="N396" s="109">
        <f t="shared" ref="N396" si="190">SUM(N394:N395)</f>
        <v>6596</v>
      </c>
      <c r="O396" s="109">
        <f t="shared" ref="O396" si="191">SUM(O394:O395)</f>
        <v>6596</v>
      </c>
      <c r="P396" s="109">
        <f t="shared" ref="P396" si="192">SUM(P394:P395)</f>
        <v>6596</v>
      </c>
    </row>
    <row r="397" spans="2:24">
      <c r="B397" s="7"/>
      <c r="J397" s="120"/>
      <c r="K397" s="120"/>
      <c r="L397" s="120"/>
      <c r="M397" s="120"/>
      <c r="N397" s="120"/>
      <c r="O397" s="120"/>
      <c r="P397" s="120"/>
    </row>
    <row r="398" spans="2:24">
      <c r="B398" s="7" t="s">
        <v>165</v>
      </c>
      <c r="D398" s="47"/>
      <c r="E398" s="47"/>
      <c r="F398" s="47"/>
      <c r="G398" s="47"/>
      <c r="J398" s="121"/>
      <c r="K398" s="122">
        <f>'Drivers, Inputs and Outputs'!G33</f>
        <v>4.2500000000000003E-2</v>
      </c>
      <c r="L398" s="122">
        <f>K398</f>
        <v>4.2500000000000003E-2</v>
      </c>
      <c r="M398" s="122">
        <f>L398</f>
        <v>4.2500000000000003E-2</v>
      </c>
      <c r="N398" s="122">
        <f>M398</f>
        <v>4.2500000000000003E-2</v>
      </c>
      <c r="O398" s="122">
        <f>N398</f>
        <v>4.2500000000000003E-2</v>
      </c>
      <c r="P398" s="122">
        <f>O398</f>
        <v>4.2500000000000003E-2</v>
      </c>
    </row>
    <row r="399" spans="2:24">
      <c r="B399" s="11" t="s">
        <v>298</v>
      </c>
      <c r="J399" s="120"/>
      <c r="K399" s="215">
        <f t="shared" ref="K399" si="193">AVERAGE(K394,K396)*K398</f>
        <v>280.33000000000004</v>
      </c>
      <c r="L399" s="215">
        <f t="shared" ref="L399" si="194">AVERAGE(L394,L396)*L398</f>
        <v>280.33000000000004</v>
      </c>
      <c r="M399" s="215">
        <f t="shared" ref="M399" si="195">AVERAGE(M394,M396)*M398</f>
        <v>280.33000000000004</v>
      </c>
      <c r="N399" s="215">
        <f t="shared" ref="N399" si="196">AVERAGE(N394,N396)*N398</f>
        <v>280.33000000000004</v>
      </c>
      <c r="O399" s="215">
        <f t="shared" ref="O399" si="197">AVERAGE(O394,O396)*O398</f>
        <v>280.33000000000004</v>
      </c>
      <c r="P399" s="215">
        <f t="shared" ref="P399" si="198">AVERAGE(P394,P396)*P398</f>
        <v>280.33000000000004</v>
      </c>
    </row>
    <row r="402" spans="1:16">
      <c r="A402" t="s">
        <v>95</v>
      </c>
      <c r="B402" s="356" t="s">
        <v>299</v>
      </c>
      <c r="C402" s="357"/>
      <c r="D402" s="357"/>
      <c r="E402" s="357"/>
      <c r="F402" s="357"/>
      <c r="G402" s="357"/>
      <c r="H402" s="357"/>
      <c r="I402" s="357"/>
      <c r="J402" s="357"/>
      <c r="K402" s="357"/>
      <c r="L402" s="357"/>
      <c r="M402" s="357"/>
      <c r="N402" s="357"/>
      <c r="O402" s="357"/>
      <c r="P402" s="356"/>
    </row>
    <row r="403" spans="1:16">
      <c r="B403" s="4" t="s">
        <v>1</v>
      </c>
    </row>
    <row r="404" spans="1:16">
      <c r="F404" s="3">
        <f t="shared" ref="F404:P404" si="199">F373</f>
        <v>44592</v>
      </c>
      <c r="G404" s="3">
        <f t="shared" si="199"/>
        <v>44957</v>
      </c>
      <c r="H404" s="3">
        <f t="shared" si="199"/>
        <v>45322</v>
      </c>
      <c r="I404" s="3">
        <f t="shared" si="199"/>
        <v>45688</v>
      </c>
      <c r="J404" s="3">
        <f t="shared" si="199"/>
        <v>46053</v>
      </c>
      <c r="K404" s="2">
        <f t="shared" si="199"/>
        <v>46418</v>
      </c>
      <c r="L404" s="2">
        <f t="shared" si="199"/>
        <v>46783</v>
      </c>
      <c r="M404" s="2">
        <f t="shared" si="199"/>
        <v>47149</v>
      </c>
      <c r="N404" s="2">
        <f t="shared" si="199"/>
        <v>47514</v>
      </c>
      <c r="O404" s="2">
        <f t="shared" si="199"/>
        <v>47879</v>
      </c>
      <c r="P404" s="1" t="str">
        <f t="shared" si="199"/>
        <v>Term</v>
      </c>
    </row>
    <row r="406" spans="1:16">
      <c r="B406" s="46" t="s">
        <v>300</v>
      </c>
      <c r="C406" s="95"/>
      <c r="J406" s="47"/>
      <c r="K406" s="62"/>
      <c r="L406" s="62"/>
      <c r="M406" s="62"/>
      <c r="N406" s="62"/>
      <c r="O406" s="62"/>
    </row>
    <row r="407" spans="1:16">
      <c r="B407" s="7" t="s">
        <v>301</v>
      </c>
      <c r="J407" s="84"/>
      <c r="K407" s="117">
        <f ca="1">K81</f>
        <v>11944.862025713206</v>
      </c>
      <c r="L407" s="117">
        <f t="shared" ref="L407:P407" ca="1" si="200">L81</f>
        <v>13560.871891374929</v>
      </c>
      <c r="M407" s="117">
        <f t="shared" ca="1" si="200"/>
        <v>15764.841289603708</v>
      </c>
      <c r="N407" s="117">
        <f t="shared" ca="1" si="200"/>
        <v>18062.736561053429</v>
      </c>
      <c r="O407" s="117">
        <f t="shared" ca="1" si="200"/>
        <v>30260.70646669465</v>
      </c>
      <c r="P407" s="117">
        <f t="shared" si="200"/>
        <v>0</v>
      </c>
    </row>
    <row r="408" spans="1:16">
      <c r="B408" s="7" t="s">
        <v>302</v>
      </c>
      <c r="D408" s="47"/>
      <c r="E408" s="47"/>
      <c r="F408" s="47"/>
      <c r="G408" s="47"/>
      <c r="J408" s="84"/>
      <c r="K408" s="117">
        <f t="shared" ref="K408:P408" ca="1" si="201">K47</f>
        <v>44322.45635155082</v>
      </c>
      <c r="L408" s="117">
        <f t="shared" ca="1" si="201"/>
        <v>50994.457812232111</v>
      </c>
      <c r="M408" s="117">
        <f t="shared" ca="1" si="201"/>
        <v>55808.667895570186</v>
      </c>
      <c r="N408" s="117">
        <f t="shared" ca="1" si="201"/>
        <v>61962.062033496717</v>
      </c>
      <c r="O408" s="117">
        <f t="shared" ca="1" si="201"/>
        <v>68392.571582684628</v>
      </c>
      <c r="P408" s="117">
        <f t="shared" si="201"/>
        <v>0</v>
      </c>
    </row>
    <row r="409" spans="1:16">
      <c r="B409" s="7" t="s">
        <v>303</v>
      </c>
      <c r="D409" s="47"/>
      <c r="E409" s="47"/>
      <c r="F409" s="47"/>
      <c r="G409" s="47"/>
      <c r="J409" s="84"/>
      <c r="K409" s="117">
        <f t="shared" ref="K409:P409" si="202">K54</f>
        <v>-28562.406312307921</v>
      </c>
      <c r="L409" s="117">
        <f t="shared" si="202"/>
        <v>-31869.467206806818</v>
      </c>
      <c r="M409" s="117">
        <f t="shared" si="202"/>
        <v>-33774.899839096877</v>
      </c>
      <c r="N409" s="117">
        <f t="shared" si="202"/>
        <v>-38190.96679784343</v>
      </c>
      <c r="O409" s="117">
        <f t="shared" si="202"/>
        <v>-40612.068592839852</v>
      </c>
      <c r="P409" s="117">
        <f t="shared" si="202"/>
        <v>0</v>
      </c>
    </row>
    <row r="410" spans="1:16">
      <c r="B410" s="7" t="s">
        <v>304</v>
      </c>
      <c r="K410" s="117">
        <f>K387</f>
        <v>885.5</v>
      </c>
      <c r="L410" s="117">
        <f t="shared" ref="L410:P410" si="203">L387</f>
        <v>809.25</v>
      </c>
      <c r="M410" s="117">
        <f t="shared" si="203"/>
        <v>847.25</v>
      </c>
      <c r="N410" s="117">
        <f t="shared" si="203"/>
        <v>535.75</v>
      </c>
      <c r="O410" s="117">
        <f t="shared" si="203"/>
        <v>650</v>
      </c>
      <c r="P410" s="117">
        <f t="shared" si="203"/>
        <v>0</v>
      </c>
    </row>
    <row r="411" spans="1:16">
      <c r="B411" s="7" t="s">
        <v>305</v>
      </c>
      <c r="K411" s="117">
        <v>0</v>
      </c>
      <c r="L411" s="117">
        <v>0</v>
      </c>
      <c r="M411" s="117">
        <v>0</v>
      </c>
      <c r="N411" s="117">
        <v>0</v>
      </c>
      <c r="O411" s="117">
        <v>0</v>
      </c>
      <c r="P411" s="117">
        <v>0</v>
      </c>
    </row>
    <row r="412" spans="1:16">
      <c r="B412" s="7" t="s">
        <v>306</v>
      </c>
      <c r="K412" s="119">
        <f ca="1">K444*-1</f>
        <v>-7905.9834270762767</v>
      </c>
      <c r="L412" s="119">
        <f t="shared" ref="L412:P412" ca="1" si="204">L444*-1</f>
        <v>-8500.1172401133899</v>
      </c>
      <c r="M412" s="119">
        <f t="shared" ca="1" si="204"/>
        <v>-9089.636449635007</v>
      </c>
      <c r="N412" s="119">
        <f t="shared" ca="1" si="204"/>
        <v>-9812.842279024233</v>
      </c>
      <c r="O412" s="119">
        <f t="shared" ca="1" si="204"/>
        <v>-10652.741453874796</v>
      </c>
      <c r="P412" s="119">
        <f t="shared" si="204"/>
        <v>0</v>
      </c>
    </row>
    <row r="413" spans="1:16">
      <c r="B413" s="11" t="s">
        <v>307</v>
      </c>
      <c r="K413" s="216">
        <f ca="1">SUM(K407:K412)</f>
        <v>20684.428637879828</v>
      </c>
      <c r="L413" s="216">
        <f ca="1">SUM(L407:L412)</f>
        <v>24994.995256686838</v>
      </c>
      <c r="M413" s="216">
        <f ca="1">SUM(M407:M412)</f>
        <v>29556.222896442014</v>
      </c>
      <c r="N413" s="216">
        <f ca="1">SUM(N407:N412)</f>
        <v>32556.739517682479</v>
      </c>
      <c r="O413" s="216">
        <f ca="1">SUM(O407:O412)</f>
        <v>48038.468002664631</v>
      </c>
      <c r="P413" s="216">
        <f t="shared" ref="P413" si="205">SUM(P407:P412)</f>
        <v>0</v>
      </c>
    </row>
    <row r="416" spans="1:16">
      <c r="B416" s="130"/>
      <c r="C416" s="130"/>
      <c r="D416" s="130"/>
      <c r="E416" s="130"/>
      <c r="F416" s="130"/>
      <c r="G416" s="130"/>
      <c r="H416" s="130"/>
      <c r="I416" s="130"/>
      <c r="J416" s="130"/>
      <c r="K416" s="130"/>
      <c r="L416" s="130"/>
      <c r="M416" s="130"/>
      <c r="N416" s="130"/>
      <c r="O416" s="130"/>
      <c r="P416" s="130"/>
    </row>
    <row r="417" spans="2:18">
      <c r="B417" s="46" t="s">
        <v>308</v>
      </c>
      <c r="C417" s="95"/>
      <c r="J417" s="47"/>
      <c r="K417" s="62"/>
      <c r="L417" s="62"/>
      <c r="M417" s="62"/>
      <c r="N417" s="62"/>
      <c r="O417" s="62"/>
      <c r="P417" s="62"/>
    </row>
    <row r="418" spans="2:18">
      <c r="B418" s="7" t="s">
        <v>294</v>
      </c>
      <c r="D418" s="47"/>
      <c r="E418" s="47"/>
      <c r="F418" s="47"/>
      <c r="G418" s="47"/>
      <c r="J418" s="117"/>
      <c r="K418" s="117">
        <f t="shared" ref="K418:P418" si="206">J420</f>
        <v>0</v>
      </c>
      <c r="L418" s="117">
        <f t="shared" ca="1" si="206"/>
        <v>0</v>
      </c>
      <c r="M418" s="117">
        <f t="shared" ca="1" si="206"/>
        <v>0</v>
      </c>
      <c r="N418" s="117">
        <f t="shared" ca="1" si="206"/>
        <v>0</v>
      </c>
      <c r="O418" s="117">
        <f t="shared" ca="1" si="206"/>
        <v>0</v>
      </c>
      <c r="P418" s="117">
        <f t="shared" ca="1" si="206"/>
        <v>0</v>
      </c>
    </row>
    <row r="419" spans="2:18">
      <c r="B419" s="7" t="s">
        <v>295</v>
      </c>
      <c r="D419" s="47"/>
      <c r="E419" s="47"/>
      <c r="F419" s="47"/>
      <c r="G419" s="47"/>
      <c r="J419" s="118"/>
      <c r="K419" s="119">
        <f ca="1">MIN(K418,K413)*-1</f>
        <v>0</v>
      </c>
      <c r="L419" s="119">
        <f t="shared" ref="L419:P419" ca="1" si="207">MIN(L418,L413)*-1</f>
        <v>0</v>
      </c>
      <c r="M419" s="119">
        <f t="shared" ca="1" si="207"/>
        <v>0</v>
      </c>
      <c r="N419" s="119">
        <f t="shared" ca="1" si="207"/>
        <v>0</v>
      </c>
      <c r="O419" s="119">
        <f t="shared" ca="1" si="207"/>
        <v>0</v>
      </c>
      <c r="P419" s="119">
        <f t="shared" ca="1" si="207"/>
        <v>0</v>
      </c>
      <c r="R419" s="180" t="s">
        <v>427</v>
      </c>
    </row>
    <row r="420" spans="2:18">
      <c r="B420" s="7" t="s">
        <v>296</v>
      </c>
      <c r="D420" s="47"/>
      <c r="E420" s="47"/>
      <c r="F420" s="47"/>
      <c r="G420" s="47"/>
      <c r="J420" s="117">
        <f>J99</f>
        <v>0</v>
      </c>
      <c r="K420" s="117">
        <f t="shared" ref="K420" ca="1" si="208">SUM(K418:K419)</f>
        <v>0</v>
      </c>
      <c r="L420" s="117">
        <f t="shared" ref="L420" ca="1" si="209">SUM(L418:L419)</f>
        <v>0</v>
      </c>
      <c r="M420" s="117">
        <f t="shared" ref="M420" ca="1" si="210">SUM(M418:M419)</f>
        <v>0</v>
      </c>
      <c r="N420" s="117">
        <f t="shared" ref="N420" ca="1" si="211">SUM(N418:N419)</f>
        <v>0</v>
      </c>
      <c r="O420" s="117">
        <f t="shared" ref="O420" ca="1" si="212">SUM(O418:O419)</f>
        <v>0</v>
      </c>
      <c r="P420" s="117">
        <f t="shared" ref="P420" ca="1" si="213">SUM(P418:P419)</f>
        <v>0</v>
      </c>
    </row>
    <row r="421" spans="2:18">
      <c r="B421" s="7"/>
      <c r="D421" s="47"/>
      <c r="E421" s="47"/>
      <c r="F421" s="47"/>
      <c r="G421" s="47"/>
      <c r="J421" s="84"/>
      <c r="K421" s="84"/>
      <c r="L421" s="84"/>
      <c r="M421" s="84"/>
      <c r="N421" s="84"/>
      <c r="O421" s="84"/>
      <c r="P421" s="84"/>
    </row>
    <row r="422" spans="2:18">
      <c r="B422" s="7" t="s">
        <v>165</v>
      </c>
      <c r="D422" s="47"/>
      <c r="E422" s="47"/>
      <c r="F422" s="117"/>
      <c r="G422" s="47"/>
      <c r="J422" s="97"/>
      <c r="K422" s="123">
        <f>'Drivers, Inputs and Outputs'!G31</f>
        <v>4.7500000000000001E-2</v>
      </c>
      <c r="L422" s="123">
        <f>K422</f>
        <v>4.7500000000000001E-2</v>
      </c>
      <c r="M422" s="123">
        <f>L422</f>
        <v>4.7500000000000001E-2</v>
      </c>
      <c r="N422" s="123">
        <f>M422</f>
        <v>4.7500000000000001E-2</v>
      </c>
      <c r="O422" s="123">
        <f>N422</f>
        <v>4.7500000000000001E-2</v>
      </c>
      <c r="P422" s="123">
        <f>O422</f>
        <v>4.7500000000000001E-2</v>
      </c>
    </row>
    <row r="423" spans="2:18">
      <c r="B423" s="7" t="s">
        <v>298</v>
      </c>
      <c r="F423" s="117"/>
      <c r="G423" s="115"/>
      <c r="K423" s="117">
        <f>IF($F$346=1,AVERAGE(K418,K420)*K422,K418*K422)</f>
        <v>0</v>
      </c>
      <c r="L423" s="117">
        <f t="shared" ref="L423:P423" ca="1" si="214">IF($F$346=1,AVERAGE(L418,L420)*L422,L418*L422)</f>
        <v>0</v>
      </c>
      <c r="M423" s="117">
        <f t="shared" ca="1" si="214"/>
        <v>0</v>
      </c>
      <c r="N423" s="117">
        <f t="shared" ca="1" si="214"/>
        <v>0</v>
      </c>
      <c r="O423" s="117">
        <f t="shared" ca="1" si="214"/>
        <v>0</v>
      </c>
      <c r="P423" s="117">
        <f t="shared" ca="1" si="214"/>
        <v>0</v>
      </c>
    </row>
    <row r="424" spans="2:18">
      <c r="B424" s="7"/>
      <c r="F424" s="117"/>
      <c r="G424" s="115"/>
      <c r="K424" s="117"/>
      <c r="L424" s="117"/>
      <c r="M424" s="117"/>
      <c r="N424" s="117"/>
      <c r="O424" s="117"/>
      <c r="P424" s="117"/>
    </row>
    <row r="426" spans="2:18">
      <c r="B426" s="130"/>
      <c r="C426" s="130"/>
      <c r="D426" s="130"/>
      <c r="E426" s="130"/>
      <c r="F426" s="130"/>
      <c r="G426" s="130"/>
      <c r="H426" s="130"/>
      <c r="I426" s="130"/>
      <c r="J426" s="130"/>
      <c r="K426" s="130"/>
      <c r="L426" s="130"/>
      <c r="M426" s="130"/>
      <c r="N426" s="130"/>
      <c r="O426" s="130"/>
      <c r="P426" s="130"/>
    </row>
    <row r="427" spans="2:18">
      <c r="B427" s="7" t="s">
        <v>426</v>
      </c>
      <c r="K427" s="117">
        <f t="shared" ref="K427:P427" si="215">(K399+K391+K423)*-1</f>
        <v>-2210.7674999999999</v>
      </c>
      <c r="L427" s="117">
        <f t="shared" ca="1" si="215"/>
        <v>-2253.13625</v>
      </c>
      <c r="M427" s="117">
        <f t="shared" ca="1" si="215"/>
        <v>-2294.5487499999999</v>
      </c>
      <c r="N427" s="117">
        <f t="shared" ca="1" si="215"/>
        <v>-2329.1237500000002</v>
      </c>
      <c r="O427" s="117">
        <f t="shared" ca="1" si="215"/>
        <v>-2358.7674999999999</v>
      </c>
      <c r="P427" s="117">
        <f t="shared" ca="1" si="215"/>
        <v>-2375.0174999999999</v>
      </c>
    </row>
    <row r="428" spans="2:18">
      <c r="B428" s="7" t="s">
        <v>425</v>
      </c>
      <c r="K428" s="117">
        <f>K536*-1</f>
        <v>-473.27000000000004</v>
      </c>
      <c r="L428" s="117">
        <f t="shared" ref="L428:P428" si="216">L536*-1</f>
        <v>-493.71385000000009</v>
      </c>
      <c r="M428" s="117">
        <f t="shared" si="216"/>
        <v>-516.64628316875007</v>
      </c>
      <c r="N428" s="117">
        <f t="shared" si="216"/>
        <v>-543.06442751048053</v>
      </c>
      <c r="O428" s="117">
        <f t="shared" si="216"/>
        <v>-574.46582047130653</v>
      </c>
      <c r="P428" s="117">
        <f t="shared" si="216"/>
        <v>0</v>
      </c>
    </row>
    <row r="429" spans="2:18">
      <c r="B429" s="7" t="s">
        <v>309</v>
      </c>
      <c r="K429" s="117">
        <f t="shared" ref="K429:P429" ca="1" si="217">K381</f>
        <v>198.64008544998111</v>
      </c>
      <c r="L429" s="117">
        <f t="shared" ca="1" si="217"/>
        <v>226.92025809906127</v>
      </c>
      <c r="M429" s="117">
        <f t="shared" ca="1" si="217"/>
        <v>265.48972256806491</v>
      </c>
      <c r="N429" s="117">
        <f t="shared" ca="1" si="217"/>
        <v>305.70288981843504</v>
      </c>
      <c r="O429" s="117">
        <f t="shared" ca="1" si="217"/>
        <v>519.1673631671564</v>
      </c>
      <c r="P429" s="117">
        <f t="shared" ca="1" si="217"/>
        <v>519.1673631671564</v>
      </c>
    </row>
    <row r="430" spans="2:18">
      <c r="B430" s="5" t="s">
        <v>310</v>
      </c>
      <c r="K430" s="226">
        <f t="shared" ref="K430:P430" ca="1" si="218">SUM(K427:K429)</f>
        <v>-2485.3974145500188</v>
      </c>
      <c r="L430" s="226">
        <f t="shared" ca="1" si="218"/>
        <v>-2519.9298419009388</v>
      </c>
      <c r="M430" s="226">
        <f t="shared" ca="1" si="218"/>
        <v>-2545.7053106006852</v>
      </c>
      <c r="N430" s="226">
        <f t="shared" ca="1" si="218"/>
        <v>-2566.4852876920459</v>
      </c>
      <c r="O430" s="226">
        <f t="shared" ca="1" si="218"/>
        <v>-2414.0659573041498</v>
      </c>
      <c r="P430" s="226">
        <f t="shared" ca="1" si="218"/>
        <v>-1855.8501368328434</v>
      </c>
    </row>
    <row r="431" spans="2:18">
      <c r="B431" s="94"/>
      <c r="C431" s="95"/>
      <c r="D431" s="47"/>
      <c r="E431" s="47"/>
      <c r="F431" s="47"/>
      <c r="G431" s="47"/>
      <c r="J431" s="47"/>
      <c r="K431" s="62"/>
      <c r="L431" s="62"/>
      <c r="M431" s="62"/>
      <c r="N431" s="62"/>
      <c r="O431" s="62"/>
    </row>
    <row r="433" spans="1:16">
      <c r="A433" t="s">
        <v>95</v>
      </c>
      <c r="B433" s="356" t="s">
        <v>311</v>
      </c>
      <c r="C433" s="357"/>
      <c r="D433" s="357"/>
      <c r="E433" s="357"/>
      <c r="F433" s="357"/>
      <c r="G433" s="357"/>
      <c r="H433" s="357"/>
      <c r="I433" s="357"/>
      <c r="J433" s="357"/>
      <c r="K433" s="357"/>
      <c r="L433" s="357"/>
      <c r="M433" s="357"/>
      <c r="N433" s="357"/>
      <c r="O433" s="357"/>
    </row>
    <row r="434" spans="1:16">
      <c r="B434" s="4" t="s">
        <v>1</v>
      </c>
    </row>
    <row r="435" spans="1:16">
      <c r="F435" s="3">
        <f>F404</f>
        <v>44592</v>
      </c>
      <c r="G435" s="3">
        <f t="shared" ref="G435:O435" si="219">G404</f>
        <v>44957</v>
      </c>
      <c r="H435" s="3">
        <f t="shared" si="219"/>
        <v>45322</v>
      </c>
      <c r="I435" s="3">
        <f t="shared" si="219"/>
        <v>45688</v>
      </c>
      <c r="J435" s="3">
        <f t="shared" si="219"/>
        <v>46053</v>
      </c>
      <c r="K435" s="2">
        <f t="shared" si="219"/>
        <v>46418</v>
      </c>
      <c r="L435" s="2">
        <f t="shared" si="219"/>
        <v>46783</v>
      </c>
      <c r="M435" s="2">
        <f t="shared" si="219"/>
        <v>47149</v>
      </c>
      <c r="N435" s="2">
        <f t="shared" si="219"/>
        <v>47514</v>
      </c>
      <c r="O435" s="2">
        <f t="shared" si="219"/>
        <v>47879</v>
      </c>
      <c r="P435" s="1"/>
    </row>
    <row r="436" spans="1:16">
      <c r="B436" s="4"/>
    </row>
    <row r="437" spans="1:16">
      <c r="B437" s="46" t="s">
        <v>312</v>
      </c>
      <c r="C437" s="95"/>
      <c r="D437" s="47"/>
      <c r="E437" s="47"/>
      <c r="F437" s="47"/>
      <c r="G437" s="47"/>
      <c r="H437" s="47"/>
      <c r="I437" s="62"/>
      <c r="J437" s="62"/>
      <c r="K437" s="62"/>
      <c r="L437" s="62"/>
      <c r="M437" s="62"/>
    </row>
    <row r="438" spans="1:16">
      <c r="B438" s="7" t="s">
        <v>294</v>
      </c>
      <c r="D438" s="47"/>
      <c r="E438" s="47"/>
      <c r="F438" s="47"/>
      <c r="G438" s="47"/>
      <c r="J438" s="117"/>
      <c r="K438" s="109">
        <f>J440</f>
        <v>7613</v>
      </c>
      <c r="L438" s="109">
        <f>K440</f>
        <v>7613</v>
      </c>
      <c r="M438" s="109">
        <f>L440</f>
        <v>7613</v>
      </c>
      <c r="N438" s="109">
        <f>M440</f>
        <v>7613</v>
      </c>
      <c r="O438" s="109">
        <f>N440</f>
        <v>7613</v>
      </c>
    </row>
    <row r="439" spans="1:16">
      <c r="B439" s="7" t="s">
        <v>295</v>
      </c>
      <c r="D439" s="47"/>
      <c r="E439" s="47"/>
      <c r="F439" s="47"/>
      <c r="G439" s="47"/>
      <c r="J439" s="118"/>
      <c r="K439" s="119">
        <v>0</v>
      </c>
      <c r="L439" s="119">
        <v>0</v>
      </c>
      <c r="M439" s="119">
        <v>0</v>
      </c>
      <c r="N439" s="119">
        <v>0</v>
      </c>
      <c r="O439" s="119">
        <v>0</v>
      </c>
    </row>
    <row r="440" spans="1:16">
      <c r="B440" s="7" t="s">
        <v>296</v>
      </c>
      <c r="D440" s="47"/>
      <c r="E440" s="47"/>
      <c r="F440" s="47"/>
      <c r="G440" s="47"/>
      <c r="J440" s="109">
        <f>J112+J113</f>
        <v>7613</v>
      </c>
      <c r="K440" s="109">
        <f>SUM(K438:K439)</f>
        <v>7613</v>
      </c>
      <c r="L440" s="109">
        <f>SUM(L438:L439)</f>
        <v>7613</v>
      </c>
      <c r="M440" s="109">
        <f>SUM(M438:M439)</f>
        <v>7613</v>
      </c>
      <c r="N440" s="109">
        <f>SUM(N438:N439)</f>
        <v>7613</v>
      </c>
      <c r="O440" s="109">
        <f>SUM(O438:O439)</f>
        <v>7613</v>
      </c>
    </row>
    <row r="441" spans="1:16">
      <c r="B441" s="7"/>
      <c r="H441" s="120"/>
      <c r="I441" s="120"/>
      <c r="J441" s="120"/>
      <c r="K441" s="120"/>
      <c r="L441" s="120"/>
      <c r="M441" s="120"/>
    </row>
    <row r="442" spans="1:16">
      <c r="B442" s="7" t="s">
        <v>313</v>
      </c>
      <c r="D442" s="47"/>
      <c r="E442" s="47"/>
      <c r="F442" s="47"/>
      <c r="G442" s="47"/>
      <c r="H442" s="117"/>
      <c r="K442" s="109">
        <f ca="1">K26</f>
        <v>23252.892432577282</v>
      </c>
      <c r="L442" s="109">
        <f ca="1">L26</f>
        <v>25185.532563298933</v>
      </c>
      <c r="M442" s="109">
        <f ca="1">M26</f>
        <v>27133.243133238826</v>
      </c>
      <c r="N442" s="109">
        <f ca="1">N26</f>
        <v>29512.307606087918</v>
      </c>
      <c r="O442" s="109">
        <f ca="1">O26</f>
        <v>32281.034708711501</v>
      </c>
    </row>
    <row r="443" spans="1:16">
      <c r="B443" s="7" t="s">
        <v>314</v>
      </c>
      <c r="D443" s="47"/>
      <c r="E443" s="47"/>
      <c r="F443" s="47"/>
      <c r="G443" s="47"/>
      <c r="H443" s="117"/>
      <c r="K443" s="122">
        <f>'Drivers, Inputs and Outputs'!O38</f>
        <v>0.34</v>
      </c>
      <c r="L443" s="122">
        <f>K443-0.25%</f>
        <v>0.33750000000000002</v>
      </c>
      <c r="M443" s="122">
        <f t="shared" ref="M443:O443" si="220">L443-0.25%</f>
        <v>0.33500000000000002</v>
      </c>
      <c r="N443" s="122">
        <f t="shared" si="220"/>
        <v>0.33250000000000002</v>
      </c>
      <c r="O443" s="122">
        <f t="shared" si="220"/>
        <v>0.33</v>
      </c>
    </row>
    <row r="444" spans="1:16">
      <c r="B444" s="11" t="s">
        <v>315</v>
      </c>
      <c r="D444" s="47"/>
      <c r="E444" s="47"/>
      <c r="F444" s="47"/>
      <c r="G444" s="47"/>
      <c r="H444" s="117"/>
      <c r="K444" s="215">
        <f ca="1">MAX(K442*K443,0)</f>
        <v>7905.9834270762767</v>
      </c>
      <c r="L444" s="215">
        <f ca="1">MAX(L442*L443,0)</f>
        <v>8500.1172401133899</v>
      </c>
      <c r="M444" s="215">
        <f ca="1">MAX(M442*M443,0)</f>
        <v>9089.636449635007</v>
      </c>
      <c r="N444" s="215">
        <f ca="1">MAX(N442*N443,0)</f>
        <v>9812.842279024233</v>
      </c>
      <c r="O444" s="215">
        <f ca="1">MAX(O442*O443,0)</f>
        <v>10652.741453874796</v>
      </c>
    </row>
    <row r="445" spans="1:16">
      <c r="B445" s="11"/>
      <c r="D445" s="47"/>
      <c r="E445" s="47"/>
      <c r="F445" s="47"/>
      <c r="G445" s="47"/>
      <c r="H445" s="117"/>
      <c r="K445" s="215"/>
      <c r="L445" s="215"/>
      <c r="M445" s="215"/>
      <c r="N445" s="215"/>
      <c r="O445" s="215"/>
    </row>
    <row r="446" spans="1:16">
      <c r="B446" s="101"/>
      <c r="C446" s="95"/>
      <c r="D446" s="47"/>
      <c r="E446" s="47"/>
      <c r="F446" s="47"/>
      <c r="G446" s="47"/>
      <c r="H446" s="84"/>
      <c r="I446" s="84"/>
      <c r="J446" s="84"/>
      <c r="K446" s="84"/>
      <c r="L446" s="84"/>
      <c r="M446" s="84"/>
    </row>
    <row r="447" spans="1:16">
      <c r="B447" s="217"/>
      <c r="C447" s="218"/>
      <c r="D447" s="219"/>
      <c r="E447" s="219"/>
      <c r="F447" s="219"/>
      <c r="G447" s="219"/>
      <c r="H447" s="221"/>
      <c r="I447" s="221"/>
      <c r="J447" s="221"/>
      <c r="K447" s="221"/>
      <c r="L447" s="221"/>
      <c r="M447" s="221"/>
      <c r="N447" s="130"/>
      <c r="O447" s="130"/>
      <c r="P447" s="130"/>
    </row>
    <row r="448" spans="1:16">
      <c r="B448" s="46" t="s">
        <v>9</v>
      </c>
      <c r="C448" s="95"/>
      <c r="D448" s="47"/>
      <c r="E448" s="47"/>
      <c r="F448" s="47"/>
      <c r="G448" s="47"/>
      <c r="H448" s="47"/>
      <c r="I448" s="62"/>
      <c r="J448" s="62"/>
      <c r="K448" s="62"/>
      <c r="L448" s="62"/>
      <c r="M448" s="62"/>
    </row>
    <row r="449" spans="2:15">
      <c r="B449" s="7" t="s">
        <v>294</v>
      </c>
      <c r="D449" s="47"/>
      <c r="E449" s="47"/>
      <c r="F449" s="47"/>
      <c r="G449" s="47"/>
      <c r="J449" s="117"/>
      <c r="K449" s="117">
        <f>J453</f>
        <v>104774</v>
      </c>
      <c r="L449" s="117">
        <f ca="1">K453</f>
        <v>114878.30825804759</v>
      </c>
      <c r="M449" s="117">
        <f ca="1">L453</f>
        <v>124812.26654912859</v>
      </c>
      <c r="N449" s="117">
        <f ca="1">M453</f>
        <v>134649.98366045608</v>
      </c>
      <c r="O449" s="117">
        <f ca="1">N453</f>
        <v>145864.06166617232</v>
      </c>
    </row>
    <row r="450" spans="2:15">
      <c r="B450" s="7" t="s">
        <v>316</v>
      </c>
      <c r="D450" s="47"/>
      <c r="E450" s="47"/>
      <c r="F450" s="47"/>
      <c r="G450" s="47"/>
      <c r="J450" s="117"/>
      <c r="K450" s="117">
        <f ca="1">K442</f>
        <v>23252.892432577282</v>
      </c>
      <c r="L450" s="117">
        <f ca="1">L442</f>
        <v>25185.532563298933</v>
      </c>
      <c r="M450" s="117">
        <f ca="1">M442</f>
        <v>27133.243133238826</v>
      </c>
      <c r="N450" s="117">
        <f ca="1">N442</f>
        <v>29512.307606087918</v>
      </c>
      <c r="O450" s="117">
        <f ca="1">O442</f>
        <v>32281.034708711501</v>
      </c>
    </row>
    <row r="451" spans="2:15">
      <c r="B451" s="7" t="s">
        <v>306</v>
      </c>
      <c r="D451" s="47"/>
      <c r="E451" s="47"/>
      <c r="F451" s="47"/>
      <c r="G451" s="47"/>
      <c r="J451" s="121"/>
      <c r="K451" s="117">
        <f ca="1">K444*-1</f>
        <v>-7905.9834270762767</v>
      </c>
      <c r="L451" s="117">
        <f ca="1">L444*-1</f>
        <v>-8500.1172401133899</v>
      </c>
      <c r="M451" s="117">
        <f ca="1">M444*-1</f>
        <v>-9089.636449635007</v>
      </c>
      <c r="N451" s="117">
        <f ca="1">N444*-1</f>
        <v>-9812.842279024233</v>
      </c>
      <c r="O451" s="117">
        <f ca="1">O444*-1</f>
        <v>-10652.741453874796</v>
      </c>
    </row>
    <row r="452" spans="2:15">
      <c r="B452" s="7" t="s">
        <v>317</v>
      </c>
      <c r="D452" s="47"/>
      <c r="E452" s="47"/>
      <c r="F452" s="47"/>
      <c r="G452" s="47"/>
      <c r="J452" s="121"/>
      <c r="K452" s="117">
        <f ca="1">K465*-1</f>
        <v>-5242.6007474534172</v>
      </c>
      <c r="L452" s="117">
        <f ca="1">L465*-1</f>
        <v>-6751.4570321045558</v>
      </c>
      <c r="M452" s="117">
        <f ca="1">M465*-1</f>
        <v>-8205.8895722763173</v>
      </c>
      <c r="N452" s="119">
        <f ca="1">N465*-1</f>
        <v>-8485.3873213474617</v>
      </c>
      <c r="O452" s="119">
        <f ca="1">O465*-1</f>
        <v>-1314.6653268182472</v>
      </c>
    </row>
    <row r="453" spans="2:15">
      <c r="B453" s="11" t="s">
        <v>296</v>
      </c>
      <c r="C453" s="5"/>
      <c r="D453" s="47"/>
      <c r="E453" s="47"/>
      <c r="F453" s="47"/>
      <c r="G453" s="47"/>
      <c r="J453" s="225">
        <f>Model!J114</f>
        <v>104774</v>
      </c>
      <c r="K453" s="225">
        <f ca="1">SUM(K449:K452)</f>
        <v>114878.30825804759</v>
      </c>
      <c r="L453" s="225">
        <f ca="1">SUM(L449:L452)</f>
        <v>124812.26654912859</v>
      </c>
      <c r="M453" s="225">
        <f ca="1">SUM(M449:M452)</f>
        <v>134649.98366045608</v>
      </c>
      <c r="N453" s="225">
        <f ca="1">SUM(N449:N452)</f>
        <v>145864.06166617232</v>
      </c>
      <c r="O453" s="225">
        <f ca="1">SUM(O449:O452)</f>
        <v>166177.68959419077</v>
      </c>
    </row>
    <row r="454" spans="2:15">
      <c r="B454" s="11"/>
      <c r="C454" s="5"/>
      <c r="D454" s="47"/>
      <c r="E454" s="47"/>
      <c r="F454" s="47"/>
      <c r="G454" s="47"/>
      <c r="J454" s="216"/>
      <c r="K454" s="216"/>
      <c r="L454" s="216"/>
      <c r="M454" s="216"/>
      <c r="N454" s="216"/>
      <c r="O454" s="216"/>
    </row>
    <row r="455" spans="2:15">
      <c r="B455" s="7"/>
      <c r="D455" s="47"/>
      <c r="E455" s="47"/>
      <c r="F455" s="47"/>
      <c r="G455" s="47"/>
      <c r="J455" s="117"/>
      <c r="K455" s="117"/>
      <c r="L455" s="117"/>
      <c r="M455" s="117"/>
      <c r="N455" s="117"/>
      <c r="O455" s="117"/>
    </row>
    <row r="456" spans="2:15">
      <c r="B456" s="199" t="s">
        <v>428</v>
      </c>
      <c r="D456" s="47"/>
      <c r="E456" s="47"/>
      <c r="F456" s="47"/>
      <c r="G456" s="47"/>
      <c r="J456" s="117"/>
      <c r="K456" s="117"/>
      <c r="L456" s="117"/>
      <c r="M456" s="117"/>
      <c r="N456" s="117"/>
      <c r="O456" s="117"/>
    </row>
    <row r="457" spans="2:15">
      <c r="B457" s="187" t="s">
        <v>443</v>
      </c>
      <c r="D457" s="47"/>
      <c r="E457" s="47"/>
      <c r="F457" s="47"/>
      <c r="G457" s="47"/>
      <c r="J457" s="117"/>
      <c r="K457" s="117">
        <v>30000</v>
      </c>
      <c r="L457" s="117">
        <f ca="1">K457-K465</f>
        <v>24757.399252546584</v>
      </c>
      <c r="M457" s="117">
        <f ca="1">L457-L465</f>
        <v>18005.942220442026</v>
      </c>
      <c r="N457" s="117">
        <f ca="1">M457-M465</f>
        <v>9800.0526481657089</v>
      </c>
      <c r="O457" s="117">
        <f ca="1">N457-N465</f>
        <v>1314.6653268182472</v>
      </c>
    </row>
    <row r="458" spans="2:15">
      <c r="B458" s="199"/>
      <c r="D458" s="47"/>
      <c r="E458" s="47"/>
      <c r="F458" s="47"/>
      <c r="G458" s="47"/>
      <c r="J458" s="117"/>
      <c r="K458" s="117"/>
      <c r="L458" s="117"/>
      <c r="M458" s="117"/>
      <c r="N458" s="117"/>
      <c r="O458" s="117"/>
    </row>
    <row r="459" spans="2:15">
      <c r="B459" s="7" t="s">
        <v>434</v>
      </c>
      <c r="D459" s="47"/>
      <c r="E459" s="47"/>
      <c r="F459" s="47"/>
      <c r="G459" s="47"/>
      <c r="J459" s="117"/>
      <c r="K459" s="117">
        <f>K497</f>
        <v>14010.617757014166</v>
      </c>
      <c r="L459" s="117">
        <f ca="1">L497</f>
        <v>16692.809949586132</v>
      </c>
      <c r="M459" s="117">
        <f ca="1">M497</f>
        <v>19183.57254600343</v>
      </c>
      <c r="N459" s="117">
        <f ca="1">N497</f>
        <v>20590.94204082085</v>
      </c>
      <c r="O459" s="117">
        <f ca="1">O497</f>
        <v>24029.581821531454</v>
      </c>
    </row>
    <row r="460" spans="2:15">
      <c r="B460" s="223" t="s">
        <v>438</v>
      </c>
      <c r="D460" s="47"/>
      <c r="E460" s="47"/>
      <c r="F460" s="47"/>
      <c r="G460" s="47"/>
      <c r="J460" s="117"/>
      <c r="K460" s="117">
        <f ca="1">K451</f>
        <v>-7905.9834270762767</v>
      </c>
      <c r="L460" s="117">
        <f t="shared" ref="L460:O460" ca="1" si="221">L451</f>
        <v>-8500.1172401133899</v>
      </c>
      <c r="M460" s="117">
        <f t="shared" ca="1" si="221"/>
        <v>-9089.636449635007</v>
      </c>
      <c r="N460" s="117">
        <f t="shared" ca="1" si="221"/>
        <v>-9812.842279024233</v>
      </c>
      <c r="O460" s="117">
        <f t="shared" ca="1" si="221"/>
        <v>-10652.741453874796</v>
      </c>
    </row>
    <row r="461" spans="2:15">
      <c r="B461" s="223" t="s">
        <v>435</v>
      </c>
      <c r="D461" s="47"/>
      <c r="E461" s="47"/>
      <c r="F461" s="47"/>
      <c r="G461" s="47"/>
      <c r="J461" s="117"/>
      <c r="K461" s="117">
        <f ca="1">SUM(K459:K460)</f>
        <v>6104.6343299378896</v>
      </c>
      <c r="L461" s="117">
        <f ca="1">SUM(L459:L460)</f>
        <v>8192.6927094727416</v>
      </c>
      <c r="M461" s="117">
        <f ca="1">SUM(M459:M460)</f>
        <v>10093.936096368423</v>
      </c>
      <c r="N461" s="117">
        <f ca="1">SUM(N459:N460)</f>
        <v>10778.099761796617</v>
      </c>
      <c r="O461" s="117">
        <f ca="1">SUM(O459:O460)</f>
        <v>13376.840367656658</v>
      </c>
    </row>
    <row r="462" spans="2:15">
      <c r="B462" s="223" t="s">
        <v>439</v>
      </c>
      <c r="D462" s="47"/>
      <c r="E462" s="47"/>
      <c r="F462" s="47"/>
      <c r="G462" s="47"/>
      <c r="J462" s="117"/>
      <c r="K462" s="117">
        <f>K568*-1</f>
        <v>-3542</v>
      </c>
      <c r="L462" s="117">
        <f t="shared" ref="L462:O462" si="222">L568*-1</f>
        <v>-3237</v>
      </c>
      <c r="M462" s="117">
        <f t="shared" si="222"/>
        <v>-3389</v>
      </c>
      <c r="N462" s="117">
        <f t="shared" si="222"/>
        <v>-2143</v>
      </c>
      <c r="O462" s="117">
        <f t="shared" si="222"/>
        <v>-2600</v>
      </c>
    </row>
    <row r="463" spans="2:15">
      <c r="B463" s="223" t="s">
        <v>440</v>
      </c>
      <c r="D463" s="47"/>
      <c r="E463" s="47"/>
      <c r="F463" s="47"/>
      <c r="G463" s="47"/>
      <c r="J463" s="117"/>
      <c r="K463" s="117">
        <f>K569</f>
        <v>4427.5</v>
      </c>
      <c r="L463" s="117">
        <f t="shared" ref="L463:O463" si="223">L569</f>
        <v>4046.25</v>
      </c>
      <c r="M463" s="117">
        <f t="shared" si="223"/>
        <v>4236.25</v>
      </c>
      <c r="N463" s="117">
        <f t="shared" si="223"/>
        <v>2678.75</v>
      </c>
      <c r="O463" s="117">
        <f t="shared" si="223"/>
        <v>3250</v>
      </c>
    </row>
    <row r="464" spans="2:15">
      <c r="B464" s="223" t="s">
        <v>436</v>
      </c>
      <c r="D464" s="47"/>
      <c r="E464" s="47"/>
      <c r="F464" s="47"/>
      <c r="G464" s="47"/>
      <c r="J464" s="117"/>
      <c r="K464" s="117">
        <f ca="1">SUM(K461:K463)</f>
        <v>6990.1343299378896</v>
      </c>
      <c r="L464" s="117">
        <f ca="1">SUM(L461:L463)</f>
        <v>9001.9427094727416</v>
      </c>
      <c r="M464" s="117">
        <f ca="1">SUM(M461:M463)</f>
        <v>10941.186096368423</v>
      </c>
      <c r="N464" s="117">
        <f ca="1">SUM(N461:N463)</f>
        <v>11313.849761796617</v>
      </c>
      <c r="O464" s="117">
        <f ca="1">SUM(O461:O463)</f>
        <v>14026.840367656658</v>
      </c>
    </row>
    <row r="465" spans="1:18">
      <c r="B465" s="224" t="s">
        <v>441</v>
      </c>
      <c r="D465" s="47"/>
      <c r="E465" s="47"/>
      <c r="F465" s="47"/>
      <c r="G465" s="47"/>
      <c r="J465" s="117"/>
      <c r="K465" s="216">
        <f ca="1">MIN(K464*75%,K457)</f>
        <v>5242.6007474534172</v>
      </c>
      <c r="L465" s="216">
        <f t="shared" ref="L465:N465" ca="1" si="224">MIN(L464*75%,L457)</f>
        <v>6751.4570321045558</v>
      </c>
      <c r="M465" s="216">
        <f t="shared" ca="1" si="224"/>
        <v>8205.8895722763173</v>
      </c>
      <c r="N465" s="216">
        <f t="shared" ca="1" si="224"/>
        <v>8485.3873213474617</v>
      </c>
      <c r="O465" s="216">
        <f ca="1">MIN(O464*80%,O457)</f>
        <v>1314.6653268182472</v>
      </c>
      <c r="R465" s="180" t="s">
        <v>442</v>
      </c>
    </row>
    <row r="466" spans="1:18">
      <c r="B466" s="7" t="s">
        <v>437</v>
      </c>
      <c r="D466" s="47"/>
      <c r="E466" s="47"/>
      <c r="F466" s="47"/>
      <c r="G466" s="47"/>
      <c r="J466" s="117"/>
      <c r="K466" s="124">
        <f ca="1">K464-K465</f>
        <v>1747.5335824844724</v>
      </c>
      <c r="L466" s="124">
        <f ca="1">L464-L465</f>
        <v>2250.4856773681859</v>
      </c>
      <c r="M466" s="124">
        <f ca="1">M464-M465</f>
        <v>2735.2965240921058</v>
      </c>
      <c r="N466" s="124">
        <f ca="1">N464-N465</f>
        <v>2828.4624404491551</v>
      </c>
      <c r="O466" s="124">
        <f ca="1">O464-O465</f>
        <v>12712.17504083841</v>
      </c>
    </row>
    <row r="468" spans="1:18">
      <c r="B468" s="46" t="s">
        <v>318</v>
      </c>
      <c r="J468" s="14">
        <f>J115</f>
        <v>-12770</v>
      </c>
      <c r="K468" s="14">
        <v>-11625</v>
      </c>
      <c r="L468" s="14">
        <f>K468</f>
        <v>-11625</v>
      </c>
      <c r="M468" s="14">
        <f t="shared" ref="M468:O468" si="225">L468</f>
        <v>-11625</v>
      </c>
      <c r="N468" s="14">
        <f t="shared" si="225"/>
        <v>-11625</v>
      </c>
      <c r="O468" s="14">
        <f t="shared" si="225"/>
        <v>-11625</v>
      </c>
    </row>
    <row r="470" spans="1:18">
      <c r="B470" s="5" t="s">
        <v>319</v>
      </c>
    </row>
    <row r="471" spans="1:18">
      <c r="B471" s="7" t="s">
        <v>294</v>
      </c>
      <c r="K471" s="14">
        <f>J474</f>
        <v>6270</v>
      </c>
      <c r="L471" s="14">
        <f t="shared" ref="L471:O471" si="226">K474</f>
        <v>6443.5999999999995</v>
      </c>
      <c r="M471" s="14">
        <f t="shared" si="226"/>
        <v>6625.2199999999993</v>
      </c>
      <c r="N471" s="14">
        <f t="shared" si="226"/>
        <v>6881.9639999999999</v>
      </c>
      <c r="O471" s="14">
        <f t="shared" si="226"/>
        <v>7114.1567999999997</v>
      </c>
    </row>
    <row r="472" spans="1:18">
      <c r="B472" s="7" t="s">
        <v>320</v>
      </c>
      <c r="K472" s="14">
        <f>K586*-1</f>
        <v>347.2</v>
      </c>
      <c r="L472" s="14">
        <f t="shared" ref="L472:O472" si="227">L586*-1</f>
        <v>363.24</v>
      </c>
      <c r="M472" s="14">
        <f t="shared" si="227"/>
        <v>513.48799999999994</v>
      </c>
      <c r="N472" s="14">
        <f t="shared" si="227"/>
        <v>464.38559999999995</v>
      </c>
      <c r="O472" s="14">
        <f t="shared" si="227"/>
        <v>413.06272000000001</v>
      </c>
    </row>
    <row r="473" spans="1:18">
      <c r="B473" s="7" t="s">
        <v>321</v>
      </c>
      <c r="K473" s="14">
        <f>K472*'Drivers, Inputs and Outputs'!$O$39*-1</f>
        <v>-173.6</v>
      </c>
      <c r="L473" s="14">
        <f>L472*'Drivers, Inputs and Outputs'!$O$39*-1</f>
        <v>-181.62</v>
      </c>
      <c r="M473" s="14">
        <f>M472*'Drivers, Inputs and Outputs'!$O$39*-1</f>
        <v>-256.74399999999997</v>
      </c>
      <c r="N473" s="14">
        <f>N472*'Drivers, Inputs and Outputs'!$O$39*-1</f>
        <v>-232.19279999999998</v>
      </c>
      <c r="O473" s="14">
        <f>O472*'Drivers, Inputs and Outputs'!$O$39*-1</f>
        <v>-206.53136000000001</v>
      </c>
    </row>
    <row r="474" spans="1:18">
      <c r="B474" s="7" t="s">
        <v>296</v>
      </c>
      <c r="J474" s="125">
        <f>J117</f>
        <v>6270</v>
      </c>
      <c r="K474" s="125">
        <f>SUM(K471:K473)</f>
        <v>6443.5999999999995</v>
      </c>
      <c r="L474" s="125">
        <f t="shared" ref="L474:O474" si="228">SUM(L471:L473)</f>
        <v>6625.2199999999993</v>
      </c>
      <c r="M474" s="125">
        <f t="shared" si="228"/>
        <v>6881.9639999999999</v>
      </c>
      <c r="N474" s="125">
        <f t="shared" si="228"/>
        <v>7114.1567999999997</v>
      </c>
      <c r="O474" s="125">
        <f t="shared" si="228"/>
        <v>7320.6881599999997</v>
      </c>
    </row>
    <row r="477" spans="1:18">
      <c r="A477" t="s">
        <v>95</v>
      </c>
      <c r="B477" s="356" t="s">
        <v>429</v>
      </c>
      <c r="C477" s="357"/>
      <c r="D477" s="357"/>
      <c r="E477" s="357"/>
      <c r="F477" s="357"/>
      <c r="G477" s="357"/>
      <c r="H477" s="357"/>
      <c r="I477" s="357"/>
      <c r="J477" s="357"/>
      <c r="K477" s="357"/>
      <c r="L477" s="357"/>
      <c r="M477" s="357"/>
      <c r="N477" s="357"/>
      <c r="O477" s="357"/>
      <c r="P477" s="356"/>
    </row>
    <row r="478" spans="1:18">
      <c r="B478" s="4" t="s">
        <v>1</v>
      </c>
    </row>
    <row r="479" spans="1:18">
      <c r="F479" s="3">
        <f t="shared" ref="F479:O479" si="229">F435</f>
        <v>44592</v>
      </c>
      <c r="G479" s="3">
        <f t="shared" si="229"/>
        <v>44957</v>
      </c>
      <c r="H479" s="3">
        <f t="shared" si="229"/>
        <v>45322</v>
      </c>
      <c r="I479" s="3">
        <f t="shared" si="229"/>
        <v>45688</v>
      </c>
      <c r="J479" s="3">
        <f t="shared" si="229"/>
        <v>46053</v>
      </c>
      <c r="K479" s="2">
        <f t="shared" si="229"/>
        <v>46418</v>
      </c>
      <c r="L479" s="2">
        <f t="shared" si="229"/>
        <v>46783</v>
      </c>
      <c r="M479" s="2">
        <f t="shared" si="229"/>
        <v>47149</v>
      </c>
      <c r="N479" s="2">
        <f t="shared" si="229"/>
        <v>47514</v>
      </c>
      <c r="O479" s="2">
        <f t="shared" si="229"/>
        <v>47879</v>
      </c>
      <c r="P479" s="1" t="s">
        <v>0</v>
      </c>
    </row>
    <row r="481" spans="2:16">
      <c r="B481" s="5" t="s">
        <v>328</v>
      </c>
    </row>
    <row r="482" spans="2:16">
      <c r="B482" s="7" t="s">
        <v>430</v>
      </c>
      <c r="F482" s="38" t="s">
        <v>330</v>
      </c>
      <c r="G482" s="127">
        <f>P11</f>
        <v>49547.213332296466</v>
      </c>
      <c r="H482" s="14"/>
      <c r="K482" s="14">
        <f>K362</f>
        <v>6171.7020088570462</v>
      </c>
      <c r="L482" s="14">
        <f ca="1">L362</f>
        <v>7169.6664572605332</v>
      </c>
      <c r="M482" s="14">
        <f ca="1">M362</f>
        <v>8176.8790027769473</v>
      </c>
      <c r="N482" s="14">
        <f ca="1">N362</f>
        <v>9261.2033909873207</v>
      </c>
      <c r="O482" s="14">
        <f ca="1">O362</f>
        <v>10404.554755698777</v>
      </c>
      <c r="P482" s="14">
        <f>G482*G484</f>
        <v>12139.067266412634</v>
      </c>
    </row>
    <row r="483" spans="2:16">
      <c r="B483" s="7" t="s">
        <v>329</v>
      </c>
      <c r="F483" s="128" t="s">
        <v>276</v>
      </c>
      <c r="G483" s="29">
        <f ca="1">P20</f>
        <v>47691.363195463622</v>
      </c>
      <c r="H483" s="14"/>
      <c r="K483" s="14">
        <f ca="1">K320</f>
        <v>5562.7796422922902</v>
      </c>
      <c r="L483" s="14">
        <f ca="1">L320</f>
        <v>6552.2836459948039</v>
      </c>
      <c r="M483" s="14">
        <f ca="1">M320</f>
        <v>7553.1812016797776</v>
      </c>
      <c r="N483" s="14">
        <f ca="1">N320</f>
        <v>8632.4144955027677</v>
      </c>
      <c r="O483" s="14">
        <f ca="1">O320</f>
        <v>9813.1085961592598</v>
      </c>
      <c r="P483" s="14">
        <f ca="1">G483*G484</f>
        <v>11684.383982888587</v>
      </c>
    </row>
    <row r="484" spans="2:16">
      <c r="B484" s="7" t="s">
        <v>331</v>
      </c>
      <c r="F484" s="30" t="s">
        <v>273</v>
      </c>
      <c r="G484" s="129">
        <f>'Drivers, Inputs and Outputs'!G20</f>
        <v>0.245</v>
      </c>
      <c r="H484" s="14"/>
      <c r="K484" s="125">
        <f ca="1">K482-K483</f>
        <v>608.92236656475598</v>
      </c>
      <c r="L484" s="125">
        <f ca="1">L482-L483</f>
        <v>617.38281126572929</v>
      </c>
      <c r="M484" s="125">
        <f ca="1">M482-M483</f>
        <v>623.69780109716976</v>
      </c>
      <c r="N484" s="125">
        <f ca="1">N482-N483</f>
        <v>628.788895484553</v>
      </c>
      <c r="O484" s="125">
        <f ca="1">O482-O483</f>
        <v>591.44615953951688</v>
      </c>
      <c r="P484" s="125">
        <f t="shared" ref="P484" ca="1" si="230">P482-P483</f>
        <v>454.68328352404751</v>
      </c>
    </row>
    <row r="485" spans="2:16">
      <c r="B485" s="7"/>
      <c r="F485" s="14"/>
      <c r="G485" s="24"/>
      <c r="H485" s="14"/>
      <c r="K485" s="14"/>
      <c r="L485" s="14"/>
      <c r="M485" s="14"/>
      <c r="N485" s="14"/>
      <c r="O485" s="14"/>
      <c r="P485" s="14"/>
    </row>
    <row r="487" spans="2:16">
      <c r="B487" s="130"/>
      <c r="C487" s="130"/>
      <c r="D487" s="130"/>
      <c r="E487" s="130"/>
      <c r="F487" s="130"/>
      <c r="G487" s="130"/>
      <c r="H487" s="130"/>
      <c r="K487" s="130"/>
      <c r="L487" s="130"/>
      <c r="M487" s="130"/>
      <c r="N487" s="130"/>
      <c r="O487" s="130"/>
      <c r="P487" s="130"/>
    </row>
    <row r="488" spans="2:16">
      <c r="B488" t="s">
        <v>330</v>
      </c>
      <c r="F488" s="14"/>
      <c r="G488" s="14"/>
      <c r="H488" s="14"/>
      <c r="K488" s="14">
        <f t="shared" ref="K488:P488" si="231">K11</f>
        <v>33743.79798750006</v>
      </c>
      <c r="L488" s="14">
        <f t="shared" si="231"/>
        <v>36359.363700575021</v>
      </c>
      <c r="M488" s="14">
        <f t="shared" si="231"/>
        <v>39163.892242042843</v>
      </c>
      <c r="N488" s="14">
        <f t="shared" si="231"/>
        <v>42270.714699729026</v>
      </c>
      <c r="O488" s="14">
        <f t="shared" si="231"/>
        <v>45717.506260233291</v>
      </c>
      <c r="P488" s="14">
        <f t="shared" si="231"/>
        <v>49547.213332296466</v>
      </c>
    </row>
    <row r="489" spans="2:16">
      <c r="B489" t="s">
        <v>332</v>
      </c>
      <c r="F489" s="14"/>
      <c r="G489" s="14"/>
      <c r="H489" s="14"/>
      <c r="K489" s="14">
        <f>K245</f>
        <v>15634.25965234375</v>
      </c>
      <c r="L489" s="14">
        <f ca="1">L245</f>
        <v>18123.287554708331</v>
      </c>
      <c r="M489" s="14">
        <f ca="1">M245</f>
        <v>20829.446309766146</v>
      </c>
      <c r="N489" s="14">
        <f ca="1">N245</f>
        <v>23777.703285930282</v>
      </c>
      <c r="O489" s="14">
        <f ca="1">O245</f>
        <v>26989.375553026759</v>
      </c>
      <c r="P489" s="14">
        <f>'Drivers, Inputs and Outputs'!O10</f>
        <v>0</v>
      </c>
    </row>
    <row r="490" spans="2:16">
      <c r="B490" t="s">
        <v>333</v>
      </c>
      <c r="F490" s="14"/>
      <c r="G490" s="14"/>
      <c r="H490" s="14"/>
      <c r="K490" s="14">
        <f>SUM(K488:K489)</f>
        <v>49378.057639843813</v>
      </c>
      <c r="L490" s="14">
        <f ca="1">SUM(L488:L489)</f>
        <v>54482.651255283352</v>
      </c>
      <c r="M490" s="14">
        <f ca="1">SUM(M488:M489)</f>
        <v>59993.338551808993</v>
      </c>
      <c r="N490" s="14">
        <f ca="1">SUM(N488:N489)</f>
        <v>66048.417985659311</v>
      </c>
      <c r="O490" s="14">
        <f ca="1">SUM(O488:O489)</f>
        <v>72706.881813260057</v>
      </c>
      <c r="P490" s="14">
        <f t="shared" ref="P490" si="232">SUM(P488:P489)</f>
        <v>49547.213332296466</v>
      </c>
    </row>
    <row r="492" spans="2:16">
      <c r="B492" s="5" t="s">
        <v>334</v>
      </c>
    </row>
    <row r="493" spans="2:16">
      <c r="B493" s="7" t="s">
        <v>333</v>
      </c>
      <c r="F493" s="14"/>
      <c r="G493" s="14"/>
      <c r="H493" s="14"/>
      <c r="K493" s="14">
        <f>K490</f>
        <v>49378.057639843813</v>
      </c>
      <c r="L493" s="14">
        <f ca="1">L490</f>
        <v>54482.651255283352</v>
      </c>
      <c r="M493" s="14">
        <f ca="1">M490</f>
        <v>59993.338551808993</v>
      </c>
      <c r="N493" s="14">
        <f ca="1">N490</f>
        <v>66048.417985659311</v>
      </c>
      <c r="O493" s="14">
        <f ca="1">O490</f>
        <v>72706.881813260057</v>
      </c>
      <c r="P493" s="14">
        <f t="shared" ref="P493" si="233">P490</f>
        <v>49547.213332296466</v>
      </c>
    </row>
    <row r="494" spans="2:16">
      <c r="B494" s="7" t="s">
        <v>432</v>
      </c>
      <c r="F494" s="6"/>
      <c r="G494" s="6"/>
      <c r="H494" s="6"/>
      <c r="K494" s="14">
        <f>K482*-1</f>
        <v>-6171.7020088570462</v>
      </c>
      <c r="L494" s="14">
        <f ca="1">L482*-1</f>
        <v>-7169.6664572605332</v>
      </c>
      <c r="M494" s="14">
        <f ca="1">M482*-1</f>
        <v>-8176.8790027769473</v>
      </c>
      <c r="N494" s="14">
        <f ca="1">N482*-1</f>
        <v>-9261.2033909873207</v>
      </c>
      <c r="O494" s="14">
        <f ca="1">O482*-1</f>
        <v>-10404.554755698777</v>
      </c>
      <c r="P494" s="14">
        <f t="shared" ref="P494" si="234">P482*-1</f>
        <v>-12139.067266412634</v>
      </c>
    </row>
    <row r="495" spans="2:16">
      <c r="B495" s="7" t="s">
        <v>338</v>
      </c>
      <c r="F495" s="6"/>
      <c r="G495" s="6"/>
      <c r="H495" s="6"/>
      <c r="K495" s="14">
        <f>'Drivers, Inputs and Outputs'!J10*-1</f>
        <v>-28119.83165625</v>
      </c>
      <c r="L495" s="14">
        <f>'Drivers, Inputs and Outputs'!K10*-1</f>
        <v>-31616.838000499996</v>
      </c>
      <c r="M495" s="14">
        <f>'Drivers, Inputs and Outputs'!L10*-1</f>
        <v>-33330.972120887505</v>
      </c>
      <c r="N495" s="14">
        <f>'Drivers, Inputs and Outputs'!M10*-1</f>
        <v>-37427.195307051763</v>
      </c>
      <c r="O495" s="14">
        <f>'Drivers, Inputs and Outputs'!N10*-1</f>
        <v>-39652.939103263612</v>
      </c>
      <c r="P495" s="14">
        <f>'Drivers, Inputs and Outputs'!O10*-1</f>
        <v>0</v>
      </c>
    </row>
    <row r="496" spans="2:16">
      <c r="B496" s="7" t="s">
        <v>433</v>
      </c>
      <c r="F496" s="6"/>
      <c r="G496" s="6"/>
      <c r="H496" s="6"/>
      <c r="K496" s="14">
        <f>K209</f>
        <v>-1075.9062177226042</v>
      </c>
      <c r="L496" s="14">
        <f t="shared" ref="L496:P496" si="235">L209</f>
        <v>996.66315206330728</v>
      </c>
      <c r="M496" s="14">
        <f t="shared" si="235"/>
        <v>698.08511785889459</v>
      </c>
      <c r="N496" s="14">
        <f t="shared" si="235"/>
        <v>1230.9227532006225</v>
      </c>
      <c r="O496" s="14">
        <f t="shared" si="235"/>
        <v>1380.1938672337819</v>
      </c>
      <c r="P496" s="14">
        <f t="shared" si="235"/>
        <v>1555.0182210188614</v>
      </c>
    </row>
    <row r="497" spans="1:18">
      <c r="B497" s="11" t="s">
        <v>335</v>
      </c>
      <c r="D497" s="5"/>
      <c r="E497" s="5"/>
      <c r="F497" s="13"/>
      <c r="G497" s="13"/>
      <c r="H497" s="13"/>
      <c r="K497" s="227">
        <f>SUM(K493:K496)</f>
        <v>14010.617757014166</v>
      </c>
      <c r="L497" s="227">
        <f ca="1">SUM(L493:L496)</f>
        <v>16692.809949586132</v>
      </c>
      <c r="M497" s="227">
        <f ca="1">SUM(M493:M496)</f>
        <v>19183.57254600343</v>
      </c>
      <c r="N497" s="227">
        <f ca="1">SUM(N493:N496)</f>
        <v>20590.94204082085</v>
      </c>
      <c r="O497" s="227">
        <f ca="1">SUM(O493:O496)</f>
        <v>24029.581821531454</v>
      </c>
      <c r="P497" s="227">
        <f t="shared" ref="P497" si="236">SUM(P493:P496)</f>
        <v>38963.164286902698</v>
      </c>
    </row>
    <row r="499" spans="1:18">
      <c r="B499" s="5" t="s">
        <v>336</v>
      </c>
    </row>
    <row r="500" spans="1:18">
      <c r="B500" s="7" t="s">
        <v>330</v>
      </c>
      <c r="F500" s="14"/>
      <c r="G500" s="14"/>
      <c r="H500" s="14"/>
      <c r="K500" s="14">
        <f>K488</f>
        <v>33743.79798750006</v>
      </c>
      <c r="L500" s="14">
        <f t="shared" ref="L500:P500" si="237">L488</f>
        <v>36359.363700575021</v>
      </c>
      <c r="M500" s="14">
        <f t="shared" si="237"/>
        <v>39163.892242042843</v>
      </c>
      <c r="N500" s="14">
        <f t="shared" si="237"/>
        <v>42270.714699729026</v>
      </c>
      <c r="O500" s="14">
        <f t="shared" si="237"/>
        <v>45717.506260233291</v>
      </c>
      <c r="P500" s="14">
        <f t="shared" si="237"/>
        <v>49547.213332296466</v>
      </c>
    </row>
    <row r="501" spans="1:18">
      <c r="B501" s="7" t="s">
        <v>337</v>
      </c>
      <c r="E501" s="14"/>
      <c r="F501" s="14"/>
      <c r="G501" s="14"/>
      <c r="H501" s="14"/>
      <c r="K501" s="14">
        <f>K482*-1</f>
        <v>-6171.7020088570462</v>
      </c>
      <c r="L501" s="14">
        <f ca="1">L482*-1</f>
        <v>-7169.6664572605332</v>
      </c>
      <c r="M501" s="14">
        <f ca="1">M482*-1</f>
        <v>-8176.8790027769473</v>
      </c>
      <c r="N501" s="14">
        <f ca="1">N482*-1</f>
        <v>-9261.2033909873207</v>
      </c>
      <c r="O501" s="14">
        <f ca="1">O482*-1</f>
        <v>-10404.554755698777</v>
      </c>
      <c r="P501" s="14">
        <f t="shared" ref="P501" si="238">P482*-1</f>
        <v>-12139.067266412634</v>
      </c>
    </row>
    <row r="502" spans="1:18">
      <c r="B502" s="7" t="s">
        <v>74</v>
      </c>
      <c r="F502" s="14"/>
      <c r="G502" s="14"/>
      <c r="H502" s="14"/>
      <c r="K502" s="14">
        <f>K489</f>
        <v>15634.25965234375</v>
      </c>
      <c r="L502" s="14">
        <f ca="1">L489</f>
        <v>18123.287554708331</v>
      </c>
      <c r="M502" s="14">
        <f ca="1">M489</f>
        <v>20829.446309766146</v>
      </c>
      <c r="N502" s="14">
        <f ca="1">N489</f>
        <v>23777.703285930282</v>
      </c>
      <c r="O502" s="14">
        <f ca="1">O489</f>
        <v>26989.375553026759</v>
      </c>
      <c r="P502" s="14">
        <f t="shared" ref="P502" si="239">P489</f>
        <v>0</v>
      </c>
    </row>
    <row r="503" spans="1:18">
      <c r="B503" s="7" t="s">
        <v>338</v>
      </c>
      <c r="F503" s="14"/>
      <c r="G503" s="14"/>
      <c r="H503" s="14"/>
      <c r="K503" s="14">
        <f>K495</f>
        <v>-28119.83165625</v>
      </c>
      <c r="L503" s="14">
        <f t="shared" ref="L503:P504" si="240">L495</f>
        <v>-31616.838000499996</v>
      </c>
      <c r="M503" s="14">
        <f t="shared" si="240"/>
        <v>-33330.972120887505</v>
      </c>
      <c r="N503" s="14">
        <f t="shared" si="240"/>
        <v>-37427.195307051763</v>
      </c>
      <c r="O503" s="14">
        <f t="shared" si="240"/>
        <v>-39652.939103263612</v>
      </c>
      <c r="P503" s="14">
        <f t="shared" si="240"/>
        <v>0</v>
      </c>
    </row>
    <row r="504" spans="1:18">
      <c r="B504" s="7" t="s">
        <v>339</v>
      </c>
      <c r="F504" s="14"/>
      <c r="G504" s="14"/>
      <c r="H504" s="14"/>
      <c r="K504" s="14">
        <f>K496</f>
        <v>-1075.9062177226042</v>
      </c>
      <c r="L504" s="14">
        <f t="shared" si="240"/>
        <v>996.66315206330728</v>
      </c>
      <c r="M504" s="14">
        <f t="shared" si="240"/>
        <v>698.08511785889459</v>
      </c>
      <c r="N504" s="14">
        <f t="shared" si="240"/>
        <v>1230.9227532006225</v>
      </c>
      <c r="O504" s="14">
        <f t="shared" si="240"/>
        <v>1380.1938672337819</v>
      </c>
      <c r="P504" s="14">
        <f t="shared" si="240"/>
        <v>1555.0182210188614</v>
      </c>
    </row>
    <row r="505" spans="1:18">
      <c r="B505" s="11" t="s">
        <v>335</v>
      </c>
      <c r="D505" s="5"/>
      <c r="E505" s="5"/>
      <c r="F505" s="13"/>
      <c r="G505" s="13"/>
      <c r="H505" s="13"/>
      <c r="K505" s="227">
        <f>SUM(K500:K504)</f>
        <v>14010.617757014159</v>
      </c>
      <c r="L505" s="227">
        <f ca="1">SUM(L500:L504)</f>
        <v>16692.809949586132</v>
      </c>
      <c r="M505" s="227">
        <f ca="1">SUM(M500:M504)</f>
        <v>19183.57254600343</v>
      </c>
      <c r="N505" s="227">
        <f ca="1">SUM(N500:N504)</f>
        <v>20590.942040820843</v>
      </c>
      <c r="O505" s="227">
        <f ca="1">SUM(O500:O504)</f>
        <v>24029.581821531447</v>
      </c>
      <c r="P505" s="227">
        <f t="shared" ref="P505" si="241">SUM(P500:P504)</f>
        <v>38963.164286902698</v>
      </c>
    </row>
    <row r="508" spans="1:18">
      <c r="A508" t="s">
        <v>95</v>
      </c>
      <c r="B508" s="356" t="s">
        <v>480</v>
      </c>
      <c r="C508" s="357"/>
      <c r="D508" s="357"/>
      <c r="E508" s="357"/>
      <c r="F508" s="357"/>
      <c r="G508" s="357"/>
      <c r="H508" s="357"/>
      <c r="I508" s="357"/>
      <c r="J508" s="357"/>
      <c r="K508" s="357"/>
      <c r="L508" s="357"/>
      <c r="M508" s="357"/>
      <c r="N508" s="357"/>
      <c r="O508" s="357"/>
    </row>
    <row r="509" spans="1:18">
      <c r="B509" s="4" t="s">
        <v>1</v>
      </c>
    </row>
    <row r="510" spans="1:18">
      <c r="F510" s="3">
        <f>F479</f>
        <v>44592</v>
      </c>
      <c r="G510" s="3">
        <f t="shared" ref="G510:O510" si="242">G479</f>
        <v>44957</v>
      </c>
      <c r="H510" s="3">
        <f t="shared" si="242"/>
        <v>45322</v>
      </c>
      <c r="I510" s="3">
        <f t="shared" si="242"/>
        <v>45688</v>
      </c>
      <c r="J510" s="3">
        <f t="shared" si="242"/>
        <v>46053</v>
      </c>
      <c r="K510" s="2">
        <f t="shared" si="242"/>
        <v>46418</v>
      </c>
      <c r="L510" s="2">
        <f t="shared" si="242"/>
        <v>46783</v>
      </c>
      <c r="M510" s="2">
        <f t="shared" si="242"/>
        <v>47149</v>
      </c>
      <c r="N510" s="2">
        <f t="shared" si="242"/>
        <v>47514</v>
      </c>
      <c r="O510" s="2">
        <f t="shared" si="242"/>
        <v>47879</v>
      </c>
      <c r="R510" s="180" t="s">
        <v>431</v>
      </c>
    </row>
    <row r="511" spans="1:18">
      <c r="F511" s="182"/>
      <c r="G511" s="182"/>
      <c r="H511" s="182"/>
      <c r="I511" s="182"/>
      <c r="J511" s="251">
        <v>46053</v>
      </c>
      <c r="K511" s="251">
        <f>EDATE(J511,12)</f>
        <v>46418</v>
      </c>
      <c r="L511" s="251">
        <f t="shared" ref="L511:O511" si="243">EDATE(K511,12)</f>
        <v>46783</v>
      </c>
      <c r="M511" s="251">
        <f t="shared" si="243"/>
        <v>47149</v>
      </c>
      <c r="N511" s="251">
        <f t="shared" si="243"/>
        <v>47514</v>
      </c>
      <c r="O511" s="251">
        <f t="shared" si="243"/>
        <v>47879</v>
      </c>
    </row>
    <row r="512" spans="1:18">
      <c r="B512" s="5" t="s">
        <v>481</v>
      </c>
      <c r="F512" s="182"/>
      <c r="G512" s="182"/>
      <c r="H512" s="182"/>
      <c r="I512" s="182"/>
      <c r="J512" s="252"/>
      <c r="K512" s="253">
        <f>J512+YEARFRAC(J511,K511)</f>
        <v>1</v>
      </c>
      <c r="L512" s="253">
        <f t="shared" ref="L512:O512" si="244">K512+YEARFRAC(K511,L511)</f>
        <v>2</v>
      </c>
      <c r="M512" s="253">
        <f t="shared" si="244"/>
        <v>3</v>
      </c>
      <c r="N512" s="253">
        <f t="shared" si="244"/>
        <v>4</v>
      </c>
      <c r="O512" s="253">
        <f t="shared" si="244"/>
        <v>5</v>
      </c>
    </row>
    <row r="513" spans="2:15">
      <c r="B513" s="7" t="s">
        <v>482</v>
      </c>
      <c r="F513" s="182"/>
      <c r="G513" s="182"/>
      <c r="H513" s="182"/>
      <c r="I513" s="182"/>
      <c r="J513" s="14"/>
      <c r="K513" s="14">
        <f>J517</f>
        <v>14750</v>
      </c>
      <c r="L513" s="14">
        <f t="shared" ref="L513:O513" si="245">K517</f>
        <v>15694.249</v>
      </c>
      <c r="M513" s="14">
        <f t="shared" si="245"/>
        <v>15664.645994125</v>
      </c>
      <c r="N513" s="14">
        <f t="shared" si="245"/>
        <v>15754.54168220784</v>
      </c>
      <c r="O513" s="14">
        <f t="shared" si="245"/>
        <v>16036.118209651046</v>
      </c>
    </row>
    <row r="514" spans="2:15">
      <c r="B514" s="7" t="s">
        <v>483</v>
      </c>
      <c r="F514" s="182"/>
      <c r="G514" s="182"/>
      <c r="H514" s="182"/>
      <c r="I514" s="182"/>
      <c r="J514" s="253">
        <f>Notes!F153</f>
        <v>2303</v>
      </c>
      <c r="K514" s="14">
        <f>J514*(1+3.5%)^K512</f>
        <v>2383.605</v>
      </c>
      <c r="L514" s="14">
        <f t="shared" ref="L514:O514" si="246">K514*(1+3.5%)^L512</f>
        <v>2553.3772661249996</v>
      </c>
      <c r="M514" s="14">
        <f t="shared" si="246"/>
        <v>2830.9750165714181</v>
      </c>
      <c r="N514" s="14">
        <f t="shared" si="246"/>
        <v>3248.6089457104417</v>
      </c>
      <c r="O514" s="14">
        <f t="shared" si="246"/>
        <v>3858.3283572222226</v>
      </c>
    </row>
    <row r="515" spans="2:15">
      <c r="B515" s="7" t="s">
        <v>544</v>
      </c>
      <c r="F515" s="182"/>
      <c r="G515" s="182"/>
      <c r="H515" s="182"/>
      <c r="I515" s="182"/>
      <c r="J515" s="253">
        <f>Notes!F141*-1</f>
        <v>-2434</v>
      </c>
      <c r="K515" s="14">
        <f>J515*(1+2%)^K512</f>
        <v>-2482.6799999999998</v>
      </c>
      <c r="L515" s="14">
        <f>K515*(1+2%)^L512</f>
        <v>-2582.9802719999998</v>
      </c>
      <c r="M515" s="14">
        <f>L515*(1+2%)^M512</f>
        <v>-2741.0793284885758</v>
      </c>
      <c r="N515" s="14">
        <f>M515*(1+2%)^N512</f>
        <v>-2967.0324182672384</v>
      </c>
      <c r="O515" s="14">
        <f>N515*(1+2%)^O512</f>
        <v>-3275.8435354809312</v>
      </c>
    </row>
    <row r="516" spans="2:15">
      <c r="B516" s="7" t="s">
        <v>502</v>
      </c>
      <c r="F516" s="182"/>
      <c r="G516" s="182"/>
      <c r="H516" s="182"/>
      <c r="I516" s="182"/>
      <c r="J516" s="14"/>
      <c r="K516" s="14">
        <f>K529</f>
        <v>1043.3240000000001</v>
      </c>
      <c r="L516" s="14">
        <f t="shared" ref="L516:O516" si="247">L529</f>
        <v>1114.7211430000002</v>
      </c>
      <c r="M516" s="14">
        <f t="shared" si="247"/>
        <v>1195.885069571375</v>
      </c>
      <c r="N516" s="14">
        <f t="shared" si="247"/>
        <v>1291.0112733029994</v>
      </c>
      <c r="O516" s="14">
        <f t="shared" si="247"/>
        <v>1406.0936984636132</v>
      </c>
    </row>
    <row r="517" spans="2:15">
      <c r="B517" s="5" t="s">
        <v>485</v>
      </c>
      <c r="F517" s="182"/>
      <c r="G517" s="182"/>
      <c r="H517" s="182"/>
      <c r="I517" s="182"/>
      <c r="J517" s="227">
        <f>J88</f>
        <v>14750</v>
      </c>
      <c r="K517" s="227">
        <f>SUM(K513:K516)</f>
        <v>15694.249</v>
      </c>
      <c r="L517" s="227">
        <f>SUM(L513:L515)</f>
        <v>15664.645994125</v>
      </c>
      <c r="M517" s="227">
        <f>SUM(M513:M515)</f>
        <v>15754.54168220784</v>
      </c>
      <c r="N517" s="227">
        <f>SUM(N513:N515)</f>
        <v>16036.118209651046</v>
      </c>
      <c r="O517" s="227">
        <f>SUM(O513:O515)</f>
        <v>16618.603031392337</v>
      </c>
    </row>
    <row r="518" spans="2:15">
      <c r="F518" s="182"/>
      <c r="G518" s="182"/>
      <c r="H518" s="182"/>
      <c r="I518" s="182"/>
      <c r="J518" s="182"/>
      <c r="K518" s="182"/>
      <c r="L518" s="182"/>
      <c r="M518" s="182"/>
      <c r="N518" s="182"/>
      <c r="O518" s="182"/>
    </row>
    <row r="519" spans="2:15">
      <c r="B519" s="199" t="s">
        <v>486</v>
      </c>
      <c r="F519" s="182"/>
      <c r="G519" s="182"/>
      <c r="H519" s="182"/>
      <c r="I519" s="182"/>
      <c r="J519" s="182"/>
      <c r="K519" s="182"/>
      <c r="L519" s="182"/>
      <c r="M519" s="182"/>
      <c r="N519" s="182"/>
      <c r="O519" s="182"/>
    </row>
    <row r="520" spans="2:15">
      <c r="B520" s="7" t="s">
        <v>482</v>
      </c>
      <c r="F520" s="182"/>
      <c r="G520" s="182"/>
      <c r="H520" s="182"/>
      <c r="I520" s="182"/>
      <c r="J520" s="182"/>
      <c r="K520" s="14">
        <f>J523</f>
        <v>6123</v>
      </c>
      <c r="L520" s="14">
        <f t="shared" ref="L520:O520" si="248">K523</f>
        <v>6318.1702173913036</v>
      </c>
      <c r="M520" s="14">
        <f t="shared" si="248"/>
        <v>6548.1927776561897</v>
      </c>
      <c r="N520" s="14">
        <f t="shared" si="248"/>
        <v>6842.9512044541061</v>
      </c>
      <c r="O520" s="14">
        <f t="shared" si="248"/>
        <v>7239.5628980008323</v>
      </c>
    </row>
    <row r="521" spans="2:15">
      <c r="B521" s="7" t="s">
        <v>483</v>
      </c>
      <c r="F521" s="182"/>
      <c r="G521" s="182"/>
      <c r="H521" s="182"/>
      <c r="I521" s="182"/>
      <c r="J521" s="253">
        <f>Notes!F154</f>
        <v>703</v>
      </c>
      <c r="K521" s="14">
        <f>J521*(1+3.5%)^K512</f>
        <v>727.6049999999999</v>
      </c>
      <c r="L521" s="14">
        <f>K521*(1+3.5%)^L512</f>
        <v>779.42866612499984</v>
      </c>
      <c r="M521" s="14">
        <f>L521*(1+3.5%)^M512</f>
        <v>864.16649442019411</v>
      </c>
      <c r="N521" s="14">
        <f>M521*(1+3.5%)^N512</f>
        <v>991.6509287166482</v>
      </c>
      <c r="O521" s="14">
        <f>N521*(1+3.5%)^O512</f>
        <v>1177.770228018768</v>
      </c>
    </row>
    <row r="522" spans="2:15">
      <c r="B522" s="7" t="s">
        <v>484</v>
      </c>
      <c r="F522" s="182"/>
      <c r="G522" s="182"/>
      <c r="H522" s="182"/>
      <c r="I522" s="182"/>
      <c r="J522" s="253">
        <f>Notes!F143*-1</f>
        <v>-888</v>
      </c>
      <c r="K522" s="14">
        <f>K520/11.5*-1</f>
        <v>-532.43478260869563</v>
      </c>
      <c r="L522" s="14">
        <f t="shared" ref="L522:O522" si="249">L520/11.5*-1</f>
        <v>-549.40610586011337</v>
      </c>
      <c r="M522" s="14">
        <f t="shared" si="249"/>
        <v>-569.40806762227737</v>
      </c>
      <c r="N522" s="14">
        <f t="shared" si="249"/>
        <v>-595.03923516992222</v>
      </c>
      <c r="O522" s="14">
        <f t="shared" si="249"/>
        <v>-629.52720852181153</v>
      </c>
    </row>
    <row r="523" spans="2:15">
      <c r="B523" s="5" t="s">
        <v>485</v>
      </c>
      <c r="F523" s="182"/>
      <c r="G523" s="182"/>
      <c r="H523" s="182"/>
      <c r="I523" s="182"/>
      <c r="J523" s="227">
        <f>J89</f>
        <v>6123</v>
      </c>
      <c r="K523" s="227">
        <f>SUM(K520:K522)</f>
        <v>6318.1702173913036</v>
      </c>
      <c r="L523" s="227">
        <f>SUM(L520:L522)</f>
        <v>6548.1927776561897</v>
      </c>
      <c r="M523" s="227">
        <f>SUM(M520:M522)</f>
        <v>6842.9512044541061</v>
      </c>
      <c r="N523" s="227">
        <f>SUM(N520:N522)</f>
        <v>7239.5628980008323</v>
      </c>
      <c r="O523" s="227">
        <f>SUM(O520:O522)</f>
        <v>7787.8059174977898</v>
      </c>
    </row>
    <row r="524" spans="2:15">
      <c r="F524" s="182"/>
      <c r="G524" s="182"/>
      <c r="H524" s="182"/>
      <c r="I524" s="182"/>
      <c r="J524" s="182"/>
      <c r="K524" s="182"/>
      <c r="L524" s="182"/>
      <c r="M524" s="182"/>
      <c r="N524" s="182"/>
      <c r="O524" s="182"/>
    </row>
    <row r="525" spans="2:15">
      <c r="F525" s="182"/>
      <c r="G525" s="182"/>
      <c r="H525" s="182"/>
      <c r="I525" s="182"/>
      <c r="J525" s="182"/>
      <c r="K525" s="182"/>
      <c r="L525" s="182"/>
      <c r="M525" s="182"/>
      <c r="N525" s="182"/>
      <c r="O525" s="182"/>
    </row>
    <row r="526" spans="2:15">
      <c r="B526" s="5" t="s">
        <v>487</v>
      </c>
      <c r="F526" s="182"/>
      <c r="G526" s="182"/>
      <c r="H526" s="182"/>
      <c r="I526" s="182"/>
      <c r="J526" s="182"/>
      <c r="K526" s="182"/>
      <c r="L526" s="182"/>
      <c r="M526" s="182"/>
      <c r="N526" s="182"/>
      <c r="O526" s="182"/>
    </row>
    <row r="527" spans="2:15">
      <c r="B527" t="s">
        <v>488</v>
      </c>
      <c r="F527" s="182"/>
      <c r="G527" s="182"/>
      <c r="H527" s="182"/>
      <c r="I527" s="182"/>
      <c r="J527" s="182"/>
      <c r="K527" s="14">
        <f>J531</f>
        <v>15572</v>
      </c>
      <c r="L527" s="14">
        <f t="shared" ref="L527:O527" si="250">K531</f>
        <v>16637.629000000001</v>
      </c>
      <c r="M527" s="14">
        <f t="shared" si="250"/>
        <v>17849.030889124999</v>
      </c>
      <c r="N527" s="14">
        <f t="shared" si="250"/>
        <v>19268.824974671632</v>
      </c>
      <c r="O527" s="14">
        <f t="shared" si="250"/>
        <v>20986.473111397212</v>
      </c>
    </row>
    <row r="528" spans="2:15">
      <c r="B528" t="s">
        <v>489</v>
      </c>
      <c r="F528" s="182"/>
      <c r="G528" s="182"/>
      <c r="H528" s="182"/>
      <c r="I528" s="182"/>
      <c r="J528" s="253">
        <f>Notes!F153</f>
        <v>2303</v>
      </c>
      <c r="K528" s="14">
        <f>J528*(1+3.5%)^K512</f>
        <v>2383.605</v>
      </c>
      <c r="L528" s="14">
        <f>K528*(1+3.5%)^L512</f>
        <v>2553.3772661249996</v>
      </c>
      <c r="M528" s="14">
        <f>L528*(1+3.5%)^M512</f>
        <v>2830.9750165714181</v>
      </c>
      <c r="N528" s="14">
        <f>M528*(1+3.5%)^N512</f>
        <v>3248.6089457104417</v>
      </c>
      <c r="O528" s="14">
        <f>N528*(1+3.5%)^O512</f>
        <v>3858.3283572222226</v>
      </c>
    </row>
    <row r="529" spans="1:15">
      <c r="B529" t="s">
        <v>502</v>
      </c>
      <c r="F529" s="182"/>
      <c r="G529" s="182"/>
      <c r="H529" s="182"/>
      <c r="I529" s="182"/>
      <c r="J529" s="253"/>
      <c r="K529" s="14">
        <f>K527*6.7%</f>
        <v>1043.3240000000001</v>
      </c>
      <c r="L529" s="14">
        <f t="shared" ref="L529:O529" si="251">L527*6.7%</f>
        <v>1114.7211430000002</v>
      </c>
      <c r="M529" s="14">
        <f t="shared" si="251"/>
        <v>1195.885069571375</v>
      </c>
      <c r="N529" s="14">
        <f t="shared" si="251"/>
        <v>1291.0112733029994</v>
      </c>
      <c r="O529" s="14">
        <f t="shared" si="251"/>
        <v>1406.0936984636132</v>
      </c>
    </row>
    <row r="530" spans="1:15">
      <c r="B530" t="s">
        <v>490</v>
      </c>
      <c r="F530" s="182"/>
      <c r="G530" s="182"/>
      <c r="H530" s="182"/>
      <c r="I530" s="182"/>
      <c r="J530" s="253">
        <f>Notes!F150*-1</f>
        <v>-2315</v>
      </c>
      <c r="K530" s="14">
        <f>J530*(1+2%)^K512</f>
        <v>-2361.3000000000002</v>
      </c>
      <c r="L530" s="14">
        <f>K530*(1+2%)^L512</f>
        <v>-2456.69652</v>
      </c>
      <c r="M530" s="14">
        <f>L530*(1+2%)^M512</f>
        <v>-2607.0660005961599</v>
      </c>
      <c r="N530" s="14">
        <f>M530*(1+2%)^N512</f>
        <v>-2821.9720822878626</v>
      </c>
      <c r="O530" s="14">
        <f>N530*(1+2%)^O512</f>
        <v>-3115.6852032203597</v>
      </c>
    </row>
    <row r="531" spans="1:15">
      <c r="B531" s="5" t="s">
        <v>491</v>
      </c>
      <c r="F531" s="182"/>
      <c r="G531" s="182"/>
      <c r="H531" s="182"/>
      <c r="I531" s="182"/>
      <c r="J531" s="227">
        <f>J102</f>
        <v>15572</v>
      </c>
      <c r="K531" s="227">
        <f>SUM(K527:K530)</f>
        <v>16637.629000000001</v>
      </c>
      <c r="L531" s="227">
        <f t="shared" ref="L531:O531" si="252">SUM(L527:L530)</f>
        <v>17849.030889124999</v>
      </c>
      <c r="M531" s="227">
        <f t="shared" si="252"/>
        <v>19268.824974671632</v>
      </c>
      <c r="N531" s="227">
        <f t="shared" si="252"/>
        <v>20986.473111397212</v>
      </c>
      <c r="O531" s="227">
        <f t="shared" si="252"/>
        <v>23135.20996386269</v>
      </c>
    </row>
    <row r="532" spans="1:15">
      <c r="F532" s="182"/>
      <c r="G532" s="182"/>
      <c r="H532" s="182"/>
      <c r="I532" s="182"/>
      <c r="J532" s="182"/>
      <c r="K532" s="182"/>
      <c r="L532" s="182"/>
      <c r="M532" s="182"/>
      <c r="N532" s="182"/>
      <c r="O532" s="182"/>
    </row>
    <row r="533" spans="1:15">
      <c r="B533" s="5" t="s">
        <v>503</v>
      </c>
      <c r="F533" s="182"/>
      <c r="G533" s="182"/>
      <c r="H533" s="182"/>
      <c r="I533" s="182"/>
      <c r="J533" s="182"/>
      <c r="K533" s="182"/>
      <c r="L533" s="182"/>
      <c r="M533" s="182"/>
      <c r="N533" s="182"/>
      <c r="O533" s="182"/>
    </row>
    <row r="534" spans="1:15">
      <c r="B534" t="s">
        <v>488</v>
      </c>
      <c r="F534" s="182"/>
      <c r="G534" s="182"/>
      <c r="H534" s="182"/>
      <c r="I534" s="182"/>
      <c r="J534" s="182"/>
      <c r="K534" s="14">
        <f>J538</f>
        <v>6761</v>
      </c>
      <c r="L534" s="14">
        <f t="shared" ref="L534:O534" si="253">K538</f>
        <v>7053.0550000000003</v>
      </c>
      <c r="M534" s="14">
        <f t="shared" si="253"/>
        <v>7380.661188125001</v>
      </c>
      <c r="N534" s="14">
        <f t="shared" si="253"/>
        <v>7758.0632501497212</v>
      </c>
      <c r="O534" s="14">
        <f t="shared" si="253"/>
        <v>8206.6545781615205</v>
      </c>
    </row>
    <row r="535" spans="1:15">
      <c r="B535" t="s">
        <v>489</v>
      </c>
      <c r="F535" s="182"/>
      <c r="G535" s="182"/>
      <c r="H535" s="182"/>
      <c r="I535" s="182"/>
      <c r="J535" s="253">
        <f>Notes!F154</f>
        <v>703</v>
      </c>
      <c r="K535" s="14">
        <f>J535*(1+3.5%)^K512</f>
        <v>727.6049999999999</v>
      </c>
      <c r="L535" s="14">
        <f>K535*(1+3.5%)^L512</f>
        <v>779.42866612499984</v>
      </c>
      <c r="M535" s="14">
        <f>L535*(1+3.5%)^M512</f>
        <v>864.16649442019411</v>
      </c>
      <c r="N535" s="14">
        <f>M535*(1+3.5%)^N512</f>
        <v>991.6509287166482</v>
      </c>
      <c r="O535" s="14">
        <f>N535*(1+3.5%)^O512</f>
        <v>1177.770228018768</v>
      </c>
    </row>
    <row r="536" spans="1:15">
      <c r="B536" t="s">
        <v>502</v>
      </c>
      <c r="F536" s="182"/>
      <c r="G536" s="182"/>
      <c r="H536" s="182"/>
      <c r="I536" s="182"/>
      <c r="J536" s="253"/>
      <c r="K536" s="14">
        <f>K534*7%</f>
        <v>473.27000000000004</v>
      </c>
      <c r="L536" s="14">
        <f t="shared" ref="L536:O536" si="254">L534*7%</f>
        <v>493.71385000000009</v>
      </c>
      <c r="M536" s="14">
        <f t="shared" si="254"/>
        <v>516.64628316875007</v>
      </c>
      <c r="N536" s="14">
        <f t="shared" si="254"/>
        <v>543.06442751048053</v>
      </c>
      <c r="O536" s="14">
        <f t="shared" si="254"/>
        <v>574.46582047130653</v>
      </c>
    </row>
    <row r="537" spans="1:15">
      <c r="B537" t="s">
        <v>490</v>
      </c>
      <c r="F537" s="182"/>
      <c r="G537" s="182"/>
      <c r="H537" s="182"/>
      <c r="I537" s="182"/>
      <c r="J537" s="253">
        <f>Notes!F152*-1</f>
        <v>-891</v>
      </c>
      <c r="K537" s="14">
        <f>J537*(1+2%)^K512</f>
        <v>-908.82</v>
      </c>
      <c r="L537" s="14">
        <f>K537*(1+2%)^L512</f>
        <v>-945.53632800000003</v>
      </c>
      <c r="M537" s="14">
        <f>L537*(1+2%)^M512</f>
        <v>-1003.410715564224</v>
      </c>
      <c r="N537" s="14">
        <f>M537*(1+2%)^N512</f>
        <v>-1086.1240282153285</v>
      </c>
      <c r="O537" s="14">
        <f>N537*(1+2%)^O512</f>
        <v>-1199.1686894467994</v>
      </c>
    </row>
    <row r="538" spans="1:15">
      <c r="B538" s="5" t="s">
        <v>491</v>
      </c>
      <c r="F538" s="182"/>
      <c r="G538" s="182"/>
      <c r="H538" s="182"/>
      <c r="I538" s="182"/>
      <c r="J538" s="227">
        <f>J103</f>
        <v>6761</v>
      </c>
      <c r="K538" s="227">
        <f>SUM(K534:K537)</f>
        <v>7053.0550000000003</v>
      </c>
      <c r="L538" s="227">
        <f t="shared" ref="L538" si="255">SUM(L534:L537)</f>
        <v>7380.661188125001</v>
      </c>
      <c r="M538" s="227">
        <f t="shared" ref="M538" si="256">SUM(M534:M537)</f>
        <v>7758.0632501497212</v>
      </c>
      <c r="N538" s="227">
        <f t="shared" ref="N538" si="257">SUM(N534:N537)</f>
        <v>8206.6545781615205</v>
      </c>
      <c r="O538" s="227">
        <f t="shared" ref="O538" si="258">SUM(O534:O537)</f>
        <v>8759.7219372047948</v>
      </c>
    </row>
    <row r="539" spans="1:15">
      <c r="B539" s="5"/>
      <c r="F539" s="182"/>
      <c r="G539" s="182"/>
      <c r="H539" s="182"/>
      <c r="I539" s="182"/>
      <c r="J539" s="13"/>
      <c r="K539" s="13"/>
      <c r="L539" s="13"/>
      <c r="M539" s="13"/>
      <c r="N539" s="13"/>
      <c r="O539" s="13"/>
    </row>
    <row r="541" spans="1:15">
      <c r="A541" t="s">
        <v>95</v>
      </c>
      <c r="B541" s="356" t="s">
        <v>509</v>
      </c>
      <c r="C541" s="357"/>
      <c r="D541" s="357"/>
      <c r="E541" s="357"/>
      <c r="F541" s="357"/>
      <c r="G541" s="357"/>
      <c r="H541" s="357"/>
      <c r="I541" s="357"/>
      <c r="J541" s="357"/>
      <c r="K541" s="357"/>
      <c r="L541" s="357"/>
      <c r="M541" s="357"/>
      <c r="N541" s="357"/>
      <c r="O541" s="357"/>
    </row>
    <row r="542" spans="1:15">
      <c r="B542" s="4" t="s">
        <v>1</v>
      </c>
    </row>
    <row r="543" spans="1:15">
      <c r="F543" s="3">
        <f t="shared" ref="F543:O543" si="259">F510</f>
        <v>44592</v>
      </c>
      <c r="G543" s="3">
        <f t="shared" si="259"/>
        <v>44957</v>
      </c>
      <c r="H543" s="3">
        <f t="shared" si="259"/>
        <v>45322</v>
      </c>
      <c r="I543" s="3">
        <f t="shared" si="259"/>
        <v>45688</v>
      </c>
      <c r="J543" s="3">
        <f t="shared" si="259"/>
        <v>46053</v>
      </c>
      <c r="K543" s="3">
        <f t="shared" si="259"/>
        <v>46418</v>
      </c>
      <c r="L543" s="3">
        <f t="shared" si="259"/>
        <v>46783</v>
      </c>
      <c r="M543" s="3">
        <f t="shared" si="259"/>
        <v>47149</v>
      </c>
      <c r="N543" s="3">
        <f t="shared" si="259"/>
        <v>47514</v>
      </c>
      <c r="O543" s="3">
        <f t="shared" si="259"/>
        <v>47879</v>
      </c>
    </row>
    <row r="544" spans="1:15">
      <c r="F544" s="3"/>
      <c r="G544" s="3"/>
      <c r="H544" s="3"/>
      <c r="I544" s="3"/>
      <c r="J544" s="3"/>
      <c r="K544" s="3"/>
      <c r="L544" s="3"/>
      <c r="M544" s="3"/>
      <c r="N544" s="3"/>
      <c r="O544" s="3"/>
    </row>
    <row r="545" spans="2:18">
      <c r="B545" s="5" t="s">
        <v>91</v>
      </c>
      <c r="F545" s="13">
        <f t="shared" ref="F545:O545" si="260">F7</f>
        <v>572754</v>
      </c>
      <c r="G545" s="13">
        <f t="shared" si="260"/>
        <v>611289</v>
      </c>
      <c r="H545" s="13">
        <f t="shared" si="260"/>
        <v>648125</v>
      </c>
      <c r="I545" s="13">
        <f t="shared" si="260"/>
        <v>680985</v>
      </c>
      <c r="J545" s="13">
        <f t="shared" si="260"/>
        <v>713163</v>
      </c>
      <c r="K545" s="13">
        <f t="shared" si="260"/>
        <v>749862.17749999999</v>
      </c>
      <c r="L545" s="13">
        <f t="shared" si="260"/>
        <v>790420.95001249993</v>
      </c>
      <c r="M545" s="13">
        <f t="shared" si="260"/>
        <v>833274.30302218767</v>
      </c>
      <c r="N545" s="13">
        <f t="shared" si="260"/>
        <v>880639.88957768853</v>
      </c>
      <c r="O545" s="13">
        <f t="shared" si="260"/>
        <v>933010.33184149675</v>
      </c>
    </row>
    <row r="546" spans="2:18">
      <c r="B546" s="199" t="s">
        <v>90</v>
      </c>
      <c r="F546" s="13">
        <f t="shared" ref="F546:O546" si="261">F9*-1</f>
        <v>429000</v>
      </c>
      <c r="G546" s="13">
        <f t="shared" si="261"/>
        <v>463721</v>
      </c>
      <c r="H546" s="13">
        <f t="shared" si="261"/>
        <v>490142</v>
      </c>
      <c r="I546" s="13">
        <f t="shared" si="261"/>
        <v>511753</v>
      </c>
      <c r="J546" s="13">
        <f t="shared" si="261"/>
        <v>535395</v>
      </c>
      <c r="K546" s="13">
        <f t="shared" si="261"/>
        <v>562396.63312499993</v>
      </c>
      <c r="L546" s="13">
        <f t="shared" si="261"/>
        <v>592420.50203436869</v>
      </c>
      <c r="M546" s="13">
        <f t="shared" si="261"/>
        <v>624122.45296361856</v>
      </c>
      <c r="N546" s="13">
        <f t="shared" si="261"/>
        <v>659158.95734889992</v>
      </c>
      <c r="O546" s="13">
        <f t="shared" si="261"/>
        <v>697891.72821743961</v>
      </c>
    </row>
    <row r="548" spans="2:18">
      <c r="B548" t="s">
        <v>493</v>
      </c>
      <c r="F548" s="14">
        <f>F19</f>
        <v>-3000</v>
      </c>
      <c r="G548" s="14">
        <f>G19</f>
        <v>-1538</v>
      </c>
      <c r="H548" s="14">
        <f>H19</f>
        <v>-3027</v>
      </c>
      <c r="I548" s="14">
        <f>I19</f>
        <v>-794</v>
      </c>
      <c r="J548" s="14">
        <f>J19</f>
        <v>2075</v>
      </c>
      <c r="K548" s="13">
        <v>0</v>
      </c>
      <c r="L548" s="13">
        <v>0</v>
      </c>
      <c r="M548" s="13">
        <v>0</v>
      </c>
      <c r="N548" s="13">
        <v>0</v>
      </c>
      <c r="O548" s="13">
        <v>0</v>
      </c>
      <c r="R548" s="180" t="s">
        <v>494</v>
      </c>
    </row>
    <row r="550" spans="2:18">
      <c r="B550" t="s">
        <v>492</v>
      </c>
      <c r="F550" s="14">
        <f>F25</f>
        <v>-267</v>
      </c>
      <c r="G550" s="14">
        <f>G25</f>
        <v>388</v>
      </c>
      <c r="H550" s="14">
        <f>H25</f>
        <v>-759</v>
      </c>
      <c r="I550" s="14">
        <f>I25</f>
        <v>-721</v>
      </c>
      <c r="J550" s="14">
        <f>J25</f>
        <v>-377</v>
      </c>
      <c r="K550" s="13">
        <f>AVERAGE(F550:J550)</f>
        <v>-347.2</v>
      </c>
      <c r="L550" s="13">
        <f t="shared" ref="L550:O550" si="262">AVERAGE(G550:K550)</f>
        <v>-363.24</v>
      </c>
      <c r="M550" s="13">
        <f t="shared" si="262"/>
        <v>-513.48799999999994</v>
      </c>
      <c r="N550" s="13">
        <f t="shared" si="262"/>
        <v>-464.38559999999995</v>
      </c>
      <c r="O550" s="13">
        <f t="shared" si="262"/>
        <v>-413.06272000000001</v>
      </c>
      <c r="R550" s="180" t="s">
        <v>495</v>
      </c>
    </row>
    <row r="552" spans="2:18">
      <c r="B552" s="187" t="s">
        <v>34</v>
      </c>
      <c r="F552" s="14">
        <f>F84</f>
        <v>1519</v>
      </c>
      <c r="G552" s="14">
        <f>G84</f>
        <v>2521</v>
      </c>
      <c r="H552" s="14">
        <f>H84</f>
        <v>3322</v>
      </c>
      <c r="I552" s="14">
        <f>I84</f>
        <v>4011</v>
      </c>
      <c r="J552" s="14">
        <f>J84</f>
        <v>4124</v>
      </c>
      <c r="K552" s="13">
        <f>(K553/365)*K545</f>
        <v>4365.6359648972602</v>
      </c>
      <c r="L552" s="13">
        <f t="shared" ref="L552:O552" si="263">(L553/365)*L545</f>
        <v>4872.4579110359582</v>
      </c>
      <c r="M552" s="13">
        <f t="shared" si="263"/>
        <v>5307.843163086538</v>
      </c>
      <c r="N552" s="13">
        <f t="shared" si="263"/>
        <v>5911.1444642885954</v>
      </c>
      <c r="O552" s="13">
        <f t="shared" si="263"/>
        <v>6837.8154456876809</v>
      </c>
      <c r="R552" s="180" t="s">
        <v>497</v>
      </c>
    </row>
    <row r="553" spans="2:18">
      <c r="B553" t="s">
        <v>496</v>
      </c>
      <c r="F553" s="184">
        <f>(F552/F545)*'Drivers, Inputs and Outputs'!$G$43</f>
        <v>0.96801593703404953</v>
      </c>
      <c r="G553" s="184">
        <f>(G552/G545)*'Drivers, Inputs and Outputs'!$G$43</f>
        <v>1.5052863702765795</v>
      </c>
      <c r="H553" s="184">
        <f>(H552/H545)*'Drivers, Inputs and Outputs'!$G$43</f>
        <v>1.8708273866923817</v>
      </c>
      <c r="I553" s="184">
        <f>(I552/I545)*'Drivers, Inputs and Outputs'!$G$43</f>
        <v>2.1498491156192867</v>
      </c>
      <c r="J553" s="184">
        <f>(J552/J545)*'Drivers, Inputs and Outputs'!$G$43</f>
        <v>2.1106815692906111</v>
      </c>
      <c r="K553">
        <v>2.125</v>
      </c>
      <c r="L553">
        <v>2.25</v>
      </c>
      <c r="M553">
        <v>2.3250000000000002</v>
      </c>
      <c r="N553">
        <v>2.4500000000000002</v>
      </c>
      <c r="O553">
        <v>2.6749999999999998</v>
      </c>
    </row>
    <row r="554" spans="2:18">
      <c r="G554" s="240">
        <f>G552/F552-1</f>
        <v>0.65964450296247534</v>
      </c>
      <c r="H554" s="240">
        <f t="shared" ref="H554:J554" si="264">H552/G552-1</f>
        <v>0.31773105910353028</v>
      </c>
      <c r="I554" s="240">
        <f t="shared" si="264"/>
        <v>0.20740517760385302</v>
      </c>
      <c r="J554" s="240">
        <f t="shared" si="264"/>
        <v>2.8172525554724492E-2</v>
      </c>
      <c r="K554" s="240"/>
      <c r="L554" s="240"/>
      <c r="M554" s="240"/>
      <c r="N554" s="240"/>
      <c r="O554" s="240"/>
    </row>
    <row r="556" spans="2:18">
      <c r="B556" t="s">
        <v>322</v>
      </c>
      <c r="F556" s="14">
        <f>F91</f>
        <v>22152</v>
      </c>
      <c r="G556" s="14">
        <f>G91</f>
        <v>20134</v>
      </c>
      <c r="H556" s="14">
        <f>H91</f>
        <v>17071</v>
      </c>
      <c r="I556" s="14">
        <f>I91</f>
        <v>12869</v>
      </c>
      <c r="J556" s="14">
        <f>J91</f>
        <v>14103</v>
      </c>
      <c r="K556" s="13">
        <f>K545*K557</f>
        <v>15372.174638750001</v>
      </c>
      <c r="L556" s="13">
        <f t="shared" ref="L556:O556" si="265">L545*L557</f>
        <v>16598.8399502625</v>
      </c>
      <c r="M556" s="13">
        <f t="shared" si="265"/>
        <v>17915.397514977034</v>
      </c>
      <c r="N556" s="13">
        <f t="shared" si="265"/>
        <v>19374.077570709145</v>
      </c>
      <c r="O556" s="13">
        <f t="shared" si="265"/>
        <v>20992.732466433677</v>
      </c>
    </row>
    <row r="557" spans="2:18">
      <c r="B557" t="s">
        <v>498</v>
      </c>
      <c r="F557" s="240">
        <f>F556/F545</f>
        <v>3.8676290344545824E-2</v>
      </c>
      <c r="G557" s="240">
        <f t="shared" ref="G557:J557" si="266">G556/G545</f>
        <v>3.2936957805555146E-2</v>
      </c>
      <c r="H557" s="240">
        <f t="shared" si="266"/>
        <v>2.6339054966248793E-2</v>
      </c>
      <c r="I557" s="240">
        <f t="shared" si="266"/>
        <v>1.8897626232589559E-2</v>
      </c>
      <c r="J557" s="240">
        <f t="shared" si="266"/>
        <v>1.9775282789488518E-2</v>
      </c>
      <c r="K557" s="17">
        <v>2.0500000000000001E-2</v>
      </c>
      <c r="L557" s="17">
        <v>2.1000000000000001E-2</v>
      </c>
      <c r="M557" s="17">
        <v>2.1499999999999998E-2</v>
      </c>
      <c r="N557" s="17">
        <v>2.1999999999999999E-2</v>
      </c>
      <c r="O557" s="17">
        <v>2.2499999999999999E-2</v>
      </c>
    </row>
    <row r="559" spans="2:18">
      <c r="B559" s="187" t="s">
        <v>499</v>
      </c>
      <c r="F559" s="14">
        <f>F97</f>
        <v>26060</v>
      </c>
      <c r="G559" s="14">
        <f>G97</f>
        <v>31126</v>
      </c>
      <c r="H559" s="14">
        <f>H97</f>
        <v>28759</v>
      </c>
      <c r="I559" s="14">
        <f>I97</f>
        <v>29345</v>
      </c>
      <c r="J559" s="14">
        <f>J97</f>
        <v>31187</v>
      </c>
      <c r="K559" s="13">
        <f>(K560/365)*K546</f>
        <v>32596.058010035631</v>
      </c>
      <c r="L559" s="13">
        <f t="shared" ref="L559:O559" si="267">(L560/365)*L546</f>
        <v>34164.536296437807</v>
      </c>
      <c r="M559" s="13">
        <f t="shared" si="267"/>
        <v>35812.805015782556</v>
      </c>
      <c r="N559" s="13">
        <f t="shared" si="267"/>
        <v>37634.120429956958</v>
      </c>
      <c r="O559" s="13">
        <f t="shared" si="267"/>
        <v>39646.307387186564</v>
      </c>
      <c r="R559" s="180" t="s">
        <v>501</v>
      </c>
    </row>
    <row r="560" spans="2:18">
      <c r="B560" t="s">
        <v>500</v>
      </c>
      <c r="F560" s="184">
        <f>(F559/F546)*'Drivers, Inputs and Outputs'!$G$43</f>
        <v>22.172261072261072</v>
      </c>
      <c r="G560" s="184">
        <f>(G559/G546)*'Drivers, Inputs and Outputs'!$G$43</f>
        <v>24.499623696144877</v>
      </c>
      <c r="H560" s="184">
        <f>(H559/H546)*'Drivers, Inputs and Outputs'!$G$43</f>
        <v>21.416314047765749</v>
      </c>
      <c r="I560" s="184">
        <f>(I559/I546)*'Drivers, Inputs and Outputs'!$G$43</f>
        <v>20.929872418920848</v>
      </c>
      <c r="J560" s="184">
        <f>(J559/J546)*'Drivers, Inputs and Outputs'!$G$43</f>
        <v>21.261414469690603</v>
      </c>
      <c r="K560" s="184">
        <f>J560*(1+K561)</f>
        <v>21.15510739734215</v>
      </c>
      <c r="L560" s="184">
        <f t="shared" ref="L560:O560" si="268">K560*(1+L561)</f>
        <v>21.049331860355437</v>
      </c>
      <c r="M560" s="184">
        <f t="shared" si="268"/>
        <v>20.94408520105366</v>
      </c>
      <c r="N560" s="184">
        <f t="shared" si="268"/>
        <v>20.839364775048391</v>
      </c>
      <c r="O560" s="184">
        <f t="shared" si="268"/>
        <v>20.73516795117315</v>
      </c>
    </row>
    <row r="561" spans="2:30">
      <c r="G561" s="240">
        <f>G560/F560-1</f>
        <v>0.10496731101527046</v>
      </c>
      <c r="H561" s="240">
        <f t="shared" ref="H561:J561" si="269">H560/G560-1</f>
        <v>-0.12585130639636311</v>
      </c>
      <c r="I561" s="240">
        <f t="shared" si="269"/>
        <v>-2.2713601778530546E-2</v>
      </c>
      <c r="J561" s="240">
        <f t="shared" si="269"/>
        <v>1.5840614989608648E-2</v>
      </c>
      <c r="K561" s="17">
        <v>-5.0000000000000001E-3</v>
      </c>
      <c r="L561" s="17">
        <v>-5.0000000000000001E-3</v>
      </c>
      <c r="M561" s="17">
        <v>-5.0000000000000001E-3</v>
      </c>
      <c r="N561" s="17">
        <v>-5.0000000000000001E-3</v>
      </c>
      <c r="O561" s="17">
        <v>-5.0000000000000001E-3</v>
      </c>
    </row>
    <row r="563" spans="2:30">
      <c r="B563" t="s">
        <v>23</v>
      </c>
      <c r="F563" s="14">
        <f>F98</f>
        <v>851</v>
      </c>
      <c r="G563" s="14">
        <f>G98</f>
        <v>727</v>
      </c>
      <c r="H563" s="14">
        <f>H98</f>
        <v>307</v>
      </c>
      <c r="I563" s="14">
        <f>I98</f>
        <v>608</v>
      </c>
      <c r="J563" s="14">
        <f>J98</f>
        <v>596</v>
      </c>
      <c r="K563" s="13">
        <f ca="1">K564*K565</f>
        <v>689.24773263354837</v>
      </c>
      <c r="L563" s="13">
        <f t="shared" ref="L563:O563" ca="1" si="270">L564*L565</f>
        <v>746.15951658376343</v>
      </c>
      <c r="M563" s="13">
        <f t="shared" ca="1" si="270"/>
        <v>829.85966133380782</v>
      </c>
      <c r="N563" s="13">
        <f t="shared" ca="1" si="270"/>
        <v>899.79709905028801</v>
      </c>
      <c r="O563" s="13">
        <f t="shared" ca="1" si="270"/>
        <v>1007.8875730506759</v>
      </c>
    </row>
    <row r="564" spans="2:30">
      <c r="B564" t="s">
        <v>508</v>
      </c>
      <c r="F564" s="14">
        <f t="shared" ref="F564:O564" si="271">F22*-1</f>
        <v>4756</v>
      </c>
      <c r="G564" s="14">
        <f t="shared" si="271"/>
        <v>5724</v>
      </c>
      <c r="H564" s="14">
        <f t="shared" si="271"/>
        <v>5578</v>
      </c>
      <c r="I564" s="14">
        <f t="shared" si="271"/>
        <v>6152</v>
      </c>
      <c r="J564" s="14">
        <f t="shared" si="271"/>
        <v>7199</v>
      </c>
      <c r="K564" s="14">
        <f t="shared" ca="1" si="271"/>
        <v>7658.3081403727601</v>
      </c>
      <c r="L564" s="14">
        <f t="shared" ca="1" si="271"/>
        <v>8290.6612953751501</v>
      </c>
      <c r="M564" s="14">
        <f t="shared" ca="1" si="271"/>
        <v>8971.4557982033275</v>
      </c>
      <c r="N564" s="14">
        <f t="shared" ca="1" si="271"/>
        <v>9727.5362059490599</v>
      </c>
      <c r="O564" s="14">
        <f t="shared" ca="1" si="271"/>
        <v>10609.34287421764</v>
      </c>
    </row>
    <row r="565" spans="2:30">
      <c r="B565" t="s">
        <v>323</v>
      </c>
      <c r="F565" s="240">
        <f>F563/F564</f>
        <v>0.17893187552565182</v>
      </c>
      <c r="G565" s="240">
        <f t="shared" ref="G565:J565" si="272">G563/G564</f>
        <v>0.12700908455625437</v>
      </c>
      <c r="H565" s="240">
        <f t="shared" si="272"/>
        <v>5.5037647902474007E-2</v>
      </c>
      <c r="I565" s="240">
        <f t="shared" si="272"/>
        <v>9.8829648894668401E-2</v>
      </c>
      <c r="J565" s="240">
        <f t="shared" si="272"/>
        <v>8.278927628837339E-2</v>
      </c>
      <c r="K565" s="26">
        <v>0.09</v>
      </c>
      <c r="L565" s="17">
        <v>0.09</v>
      </c>
      <c r="M565" s="17">
        <v>9.2499999999999999E-2</v>
      </c>
      <c r="N565" s="17">
        <v>9.2499999999999999E-2</v>
      </c>
      <c r="O565" s="17">
        <v>9.5000000000000001E-2</v>
      </c>
    </row>
    <row r="567" spans="2:30">
      <c r="B567" t="s">
        <v>19</v>
      </c>
      <c r="F567" s="14">
        <f t="shared" ref="F567:O567" si="273">F101</f>
        <v>37667</v>
      </c>
      <c r="G567" s="14">
        <f t="shared" si="273"/>
        <v>38840</v>
      </c>
      <c r="H567" s="14">
        <f t="shared" si="273"/>
        <v>39579</v>
      </c>
      <c r="I567" s="14">
        <f t="shared" si="273"/>
        <v>35999</v>
      </c>
      <c r="J567" s="14">
        <f t="shared" si="273"/>
        <v>38166</v>
      </c>
      <c r="K567" s="13">
        <f t="shared" si="273"/>
        <v>39051.5</v>
      </c>
      <c r="L567" s="13">
        <f t="shared" si="273"/>
        <v>39860.75</v>
      </c>
      <c r="M567" s="13">
        <f t="shared" si="273"/>
        <v>40708</v>
      </c>
      <c r="N567" s="13">
        <f t="shared" si="273"/>
        <v>41243.75</v>
      </c>
      <c r="O567" s="13">
        <f t="shared" si="273"/>
        <v>41893.75</v>
      </c>
    </row>
    <row r="568" spans="2:30">
      <c r="B568" t="s">
        <v>510</v>
      </c>
      <c r="F568">
        <v>12990</v>
      </c>
      <c r="G568">
        <v>2700</v>
      </c>
      <c r="H568">
        <f>Notes!B70</f>
        <v>4191</v>
      </c>
      <c r="I568">
        <f>Notes!B71</f>
        <v>3447</v>
      </c>
      <c r="J568">
        <f>Notes!B72</f>
        <v>2598</v>
      </c>
      <c r="K568">
        <f>Notes!B73</f>
        <v>3542</v>
      </c>
      <c r="L568">
        <f>Notes!B74</f>
        <v>3237</v>
      </c>
      <c r="M568">
        <f>Notes!B75</f>
        <v>3389</v>
      </c>
      <c r="N568">
        <f>Notes!B76</f>
        <v>2143</v>
      </c>
      <c r="O568">
        <f>Notes!B77</f>
        <v>2600</v>
      </c>
    </row>
    <row r="569" spans="2:30">
      <c r="B569" t="s">
        <v>327</v>
      </c>
      <c r="F569" s="14">
        <f t="shared" ref="F569:J570" si="274">F57</f>
        <v>6945</v>
      </c>
      <c r="G569" s="14">
        <f t="shared" si="274"/>
        <v>5041</v>
      </c>
      <c r="H569" s="14">
        <f t="shared" si="274"/>
        <v>4967</v>
      </c>
      <c r="I569" s="14">
        <f t="shared" si="274"/>
        <v>0</v>
      </c>
      <c r="J569" s="14">
        <f t="shared" si="274"/>
        <v>3983</v>
      </c>
      <c r="K569" s="14">
        <f>K568*K571</f>
        <v>4427.5</v>
      </c>
      <c r="L569" s="14">
        <f t="shared" ref="L569:O569" si="275">L568*L571</f>
        <v>4046.25</v>
      </c>
      <c r="M569" s="14">
        <f t="shared" si="275"/>
        <v>4236.25</v>
      </c>
      <c r="N569" s="14">
        <f t="shared" si="275"/>
        <v>2678.75</v>
      </c>
      <c r="O569" s="14">
        <f t="shared" si="275"/>
        <v>3250</v>
      </c>
      <c r="U569" s="3"/>
      <c r="V569" s="3"/>
      <c r="W569" s="3"/>
      <c r="X569" s="3"/>
      <c r="Y569" s="3"/>
      <c r="Z569" s="3"/>
      <c r="AA569" s="3"/>
      <c r="AB569" s="3"/>
      <c r="AC569" s="3"/>
      <c r="AD569" s="3"/>
    </row>
    <row r="570" spans="2:30">
      <c r="B570" t="s">
        <v>511</v>
      </c>
      <c r="F570" s="14">
        <f t="shared" si="274"/>
        <v>-13010</v>
      </c>
      <c r="G570" s="14">
        <f t="shared" si="274"/>
        <v>-2689</v>
      </c>
      <c r="H570" s="14">
        <f t="shared" si="274"/>
        <v>-4217</v>
      </c>
      <c r="I570" s="14">
        <f t="shared" si="274"/>
        <v>-3468</v>
      </c>
      <c r="J570" s="14">
        <f t="shared" si="274"/>
        <v>-2625</v>
      </c>
    </row>
    <row r="571" spans="2:30">
      <c r="F571" s="33">
        <f>F569/F568</f>
        <v>0.53464203233256347</v>
      </c>
      <c r="G571" s="33">
        <f t="shared" ref="G571:I571" si="276">G569/G568</f>
        <v>1.8670370370370371</v>
      </c>
      <c r="H571" s="33">
        <f t="shared" si="276"/>
        <v>1.1851586733476498</v>
      </c>
      <c r="I571" s="33">
        <f t="shared" si="276"/>
        <v>0</v>
      </c>
      <c r="J571" s="33">
        <f>J569/J568</f>
        <v>1.5331023864511162</v>
      </c>
      <c r="K571">
        <v>1.25</v>
      </c>
      <c r="L571">
        <v>1.25</v>
      </c>
      <c r="M571">
        <v>1.25</v>
      </c>
      <c r="N571">
        <v>1.25</v>
      </c>
      <c r="O571">
        <v>1.25</v>
      </c>
      <c r="U571" s="14"/>
      <c r="V571" s="14"/>
      <c r="W571" s="14"/>
      <c r="X571" s="14"/>
      <c r="Y571" s="14"/>
      <c r="Z571" s="14"/>
      <c r="AA571" s="14"/>
      <c r="AB571" s="14"/>
      <c r="AC571" s="14"/>
      <c r="AD571" s="14"/>
    </row>
    <row r="572" spans="2:30">
      <c r="U572" s="14"/>
      <c r="V572" s="14"/>
      <c r="W572" s="14"/>
      <c r="X572" s="14"/>
      <c r="Y572" s="14"/>
      <c r="Z572" s="14"/>
      <c r="AA572" s="14"/>
      <c r="AB572" s="14"/>
      <c r="AC572" s="14"/>
      <c r="AD572" s="14"/>
    </row>
    <row r="573" spans="2:30">
      <c r="B573" s="187" t="s">
        <v>16</v>
      </c>
      <c r="F573" s="14">
        <f>F104</f>
        <v>13474</v>
      </c>
      <c r="G573" s="14">
        <f>G104</f>
        <v>14688</v>
      </c>
      <c r="H573" s="14">
        <f>H104</f>
        <v>14629</v>
      </c>
      <c r="I573" s="14">
        <f>I104</f>
        <v>14398</v>
      </c>
      <c r="J573" s="14">
        <f>J104</f>
        <v>16549</v>
      </c>
      <c r="K573" s="13">
        <f ca="1">J573+K321</f>
        <v>18644.528498080472</v>
      </c>
      <c r="L573" s="13">
        <f ca="1">K573+L321</f>
        <v>20382.906147460817</v>
      </c>
      <c r="M573" s="13">
        <f ca="1">L573+M321</f>
        <v>21801.180743984369</v>
      </c>
      <c r="N573" s="13">
        <f ca="1">M573+N321</f>
        <v>22896.302454430661</v>
      </c>
      <c r="O573" s="13">
        <f ca="1">N573+O321</f>
        <v>23692.536732489039</v>
      </c>
      <c r="U573" s="240"/>
      <c r="V573" s="240"/>
      <c r="W573" s="240"/>
      <c r="X573" s="240"/>
      <c r="Y573" s="240"/>
    </row>
    <row r="575" spans="2:30">
      <c r="B575" s="187" t="s">
        <v>325</v>
      </c>
      <c r="F575" s="14">
        <f t="shared" ref="F575:O575" si="277">F49</f>
        <v>-13106</v>
      </c>
      <c r="G575" s="14">
        <f t="shared" si="277"/>
        <v>-16857</v>
      </c>
      <c r="H575" s="14">
        <f t="shared" si="277"/>
        <v>-20606</v>
      </c>
      <c r="I575" s="14">
        <f t="shared" si="277"/>
        <v>-23783</v>
      </c>
      <c r="J575" s="14">
        <f t="shared" si="277"/>
        <v>-26642</v>
      </c>
      <c r="K575" s="13">
        <f t="shared" si="277"/>
        <v>-28119.83165625</v>
      </c>
      <c r="L575" s="13">
        <f t="shared" si="277"/>
        <v>-31616.838000499996</v>
      </c>
      <c r="M575" s="13">
        <f t="shared" si="277"/>
        <v>-33330.972120887505</v>
      </c>
      <c r="N575" s="13">
        <f t="shared" si="277"/>
        <v>-37427.195307051763</v>
      </c>
      <c r="O575" s="13">
        <f t="shared" si="277"/>
        <v>-39652.939103263612</v>
      </c>
      <c r="U575" s="14"/>
      <c r="V575" s="14"/>
      <c r="W575" s="14"/>
      <c r="X575" s="14"/>
      <c r="Y575" s="14"/>
      <c r="Z575" s="14"/>
      <c r="AA575" s="14"/>
      <c r="AB575" s="14"/>
      <c r="AC575" s="14"/>
      <c r="AD575" s="14"/>
    </row>
    <row r="576" spans="2:30">
      <c r="B576" s="187" t="s">
        <v>516</v>
      </c>
      <c r="F576" s="14">
        <f t="shared" ref="F576:J578" si="278">F50</f>
        <v>394</v>
      </c>
      <c r="G576" s="14">
        <f t="shared" si="278"/>
        <v>170</v>
      </c>
      <c r="H576" s="14">
        <f t="shared" si="278"/>
        <v>250</v>
      </c>
      <c r="I576" s="14">
        <f t="shared" si="278"/>
        <v>432</v>
      </c>
      <c r="J576" s="14">
        <f t="shared" si="278"/>
        <v>106</v>
      </c>
      <c r="K576" s="13">
        <f>K575*-1*K580</f>
        <v>309.31814821874997</v>
      </c>
      <c r="L576" s="13">
        <f t="shared" ref="L576:O576" si="279">L575*-1*L580</f>
        <v>363.59363700574994</v>
      </c>
      <c r="M576" s="13">
        <f t="shared" si="279"/>
        <v>399.97166545065005</v>
      </c>
      <c r="N576" s="13">
        <f t="shared" si="279"/>
        <v>467.83994133814707</v>
      </c>
      <c r="O576" s="13">
        <f t="shared" si="279"/>
        <v>515.4882083424269</v>
      </c>
      <c r="U576" s="14"/>
      <c r="V576" s="14"/>
      <c r="W576" s="14"/>
      <c r="X576" s="14"/>
      <c r="Y576" s="14"/>
      <c r="Z576" s="14"/>
      <c r="AA576" s="14"/>
      <c r="AB576" s="14"/>
      <c r="AC576" s="14"/>
      <c r="AD576" s="14"/>
    </row>
    <row r="577" spans="2:30">
      <c r="B577" s="187" t="s">
        <v>517</v>
      </c>
      <c r="F577" s="14">
        <f t="shared" si="278"/>
        <v>7935</v>
      </c>
      <c r="G577" s="14">
        <f t="shared" si="278"/>
        <v>0</v>
      </c>
      <c r="H577" s="14">
        <f t="shared" si="278"/>
        <v>135</v>
      </c>
      <c r="I577" s="14">
        <f t="shared" si="278"/>
        <v>4080</v>
      </c>
      <c r="J577" s="14">
        <f t="shared" si="278"/>
        <v>927</v>
      </c>
      <c r="K577" s="13">
        <v>0</v>
      </c>
      <c r="L577" s="13">
        <v>0</v>
      </c>
      <c r="M577" s="13">
        <v>0</v>
      </c>
      <c r="N577" s="13">
        <v>0</v>
      </c>
      <c r="O577" s="13">
        <v>0</v>
      </c>
      <c r="R577" s="180" t="s">
        <v>520</v>
      </c>
      <c r="U577" s="14"/>
      <c r="V577" s="14"/>
      <c r="W577" s="14"/>
      <c r="X577" s="14"/>
      <c r="Y577" s="14"/>
      <c r="Z577" s="14"/>
      <c r="AA577" s="14"/>
      <c r="AB577" s="14"/>
      <c r="AC577" s="14"/>
      <c r="AD577" s="14"/>
    </row>
    <row r="578" spans="2:30">
      <c r="B578" s="187" t="s">
        <v>518</v>
      </c>
      <c r="F578" s="14">
        <f t="shared" si="278"/>
        <v>-359</v>
      </c>
      <c r="G578" s="14">
        <f t="shared" si="278"/>
        <v>-740</v>
      </c>
      <c r="H578" s="14">
        <f t="shared" si="278"/>
        <v>-9</v>
      </c>
      <c r="I578" s="14">
        <f t="shared" si="278"/>
        <v>-1896</v>
      </c>
      <c r="J578" s="14">
        <f t="shared" si="278"/>
        <v>-53</v>
      </c>
      <c r="K578" s="13">
        <v>0</v>
      </c>
      <c r="L578" s="13">
        <v>0</v>
      </c>
      <c r="M578" s="13">
        <v>0</v>
      </c>
      <c r="N578" s="13">
        <v>0</v>
      </c>
      <c r="O578" s="13">
        <v>0</v>
      </c>
      <c r="U578" s="14"/>
      <c r="V578" s="14"/>
      <c r="W578" s="14"/>
      <c r="X578" s="14"/>
      <c r="Y578" s="14"/>
      <c r="Z578" s="14"/>
      <c r="AA578" s="14"/>
      <c r="AB578" s="14"/>
      <c r="AC578" s="14"/>
      <c r="AD578" s="14"/>
    </row>
    <row r="580" spans="2:30">
      <c r="B580" s="187" t="s">
        <v>519</v>
      </c>
      <c r="F580" s="240">
        <f>F576/F575*-1</f>
        <v>3.0062566763314511E-2</v>
      </c>
      <c r="G580" s="240">
        <f t="shared" ref="G580:J580" si="280">G576/G575*-1</f>
        <v>1.0084831227383283E-2</v>
      </c>
      <c r="H580" s="240">
        <f t="shared" si="280"/>
        <v>1.2132388624672426E-2</v>
      </c>
      <c r="I580" s="240">
        <f t="shared" si="280"/>
        <v>1.8164234957742924E-2</v>
      </c>
      <c r="J580" s="240">
        <f t="shared" si="280"/>
        <v>3.9786802792583136E-3</v>
      </c>
      <c r="K580" s="240">
        <v>1.0999999999999999E-2</v>
      </c>
      <c r="L580" s="240">
        <v>1.15E-2</v>
      </c>
      <c r="M580" s="240">
        <v>1.2E-2</v>
      </c>
      <c r="N580" s="240">
        <v>1.2500000000000001E-2</v>
      </c>
      <c r="O580" s="240">
        <v>1.2999999999999999E-2</v>
      </c>
    </row>
    <row r="582" spans="2:30">
      <c r="B582" s="187" t="s">
        <v>521</v>
      </c>
      <c r="F582" s="255">
        <f>F575*-1/F545</f>
        <v>2.2882424217028602E-2</v>
      </c>
      <c r="G582" s="255">
        <f t="shared" ref="G582:O582" si="281">G575*-1/G545</f>
        <v>2.7576154650255445E-2</v>
      </c>
      <c r="H582" s="255">
        <f t="shared" si="281"/>
        <v>3.1793249758919964E-2</v>
      </c>
      <c r="I582" s="255">
        <f t="shared" si="281"/>
        <v>3.4924410963530765E-2</v>
      </c>
      <c r="J582" s="255">
        <f t="shared" si="281"/>
        <v>3.73575185476532E-2</v>
      </c>
      <c r="K582" s="255">
        <f t="shared" si="281"/>
        <v>3.7499999999999999E-2</v>
      </c>
      <c r="L582" s="255">
        <f t="shared" si="281"/>
        <v>0.04</v>
      </c>
      <c r="M582" s="255">
        <f t="shared" si="281"/>
        <v>0.04</v>
      </c>
      <c r="N582" s="255">
        <f t="shared" si="281"/>
        <v>4.2500000000000003E-2</v>
      </c>
      <c r="O582" s="255">
        <f t="shared" si="281"/>
        <v>4.2500000000000003E-2</v>
      </c>
    </row>
    <row r="583" spans="2:30">
      <c r="B583" t="s">
        <v>522</v>
      </c>
      <c r="K583" s="27">
        <f>K584*K545</f>
        <v>28119.83165625</v>
      </c>
      <c r="L583" s="27">
        <f t="shared" ref="L583:O583" si="282">L584*L545</f>
        <v>31616.838000499996</v>
      </c>
      <c r="M583" s="27">
        <f t="shared" si="282"/>
        <v>33330.972120887505</v>
      </c>
      <c r="N583" s="27">
        <f t="shared" si="282"/>
        <v>37427.195307051763</v>
      </c>
      <c r="O583" s="27">
        <f t="shared" si="282"/>
        <v>39652.939103263612</v>
      </c>
    </row>
    <row r="584" spans="2:30">
      <c r="B584" s="187" t="s">
        <v>523</v>
      </c>
      <c r="K584" s="255">
        <v>3.7499999999999999E-2</v>
      </c>
      <c r="L584" s="255">
        <v>0.04</v>
      </c>
      <c r="M584" s="255">
        <v>0.04</v>
      </c>
      <c r="N584" s="255">
        <v>4.2500000000000003E-2</v>
      </c>
      <c r="O584" s="255">
        <v>4.2500000000000003E-2</v>
      </c>
      <c r="P584" s="255"/>
    </row>
    <row r="586" spans="2:30">
      <c r="B586" s="187" t="s">
        <v>78</v>
      </c>
      <c r="F586" s="14">
        <f>F25</f>
        <v>-267</v>
      </c>
      <c r="G586" s="14">
        <f>G25</f>
        <v>388</v>
      </c>
      <c r="H586" s="14">
        <f>H25</f>
        <v>-759</v>
      </c>
      <c r="I586" s="14">
        <f>I25</f>
        <v>-721</v>
      </c>
      <c r="J586" s="14">
        <f>J25</f>
        <v>-377</v>
      </c>
      <c r="K586" s="13">
        <f>AVERAGE(F586:J586)</f>
        <v>-347.2</v>
      </c>
      <c r="L586" s="13">
        <f t="shared" ref="L586:O586" si="283">AVERAGE(G586:K586)</f>
        <v>-363.24</v>
      </c>
      <c r="M586" s="13">
        <f t="shared" si="283"/>
        <v>-513.48799999999994</v>
      </c>
      <c r="N586" s="13">
        <f t="shared" si="283"/>
        <v>-464.38559999999995</v>
      </c>
      <c r="O586" s="13">
        <f t="shared" si="283"/>
        <v>-413.06272000000001</v>
      </c>
      <c r="R586" s="180" t="s">
        <v>524</v>
      </c>
    </row>
    <row r="588" spans="2:30">
      <c r="B588" s="187" t="s">
        <v>525</v>
      </c>
      <c r="F588" s="14">
        <v>0</v>
      </c>
      <c r="G588" s="14">
        <v>-827</v>
      </c>
      <c r="H588" s="14">
        <v>-3462</v>
      </c>
      <c r="I588" s="14">
        <v>0</v>
      </c>
      <c r="J588" s="14">
        <v>0</v>
      </c>
      <c r="V588" s="257"/>
      <c r="W588" s="257"/>
      <c r="X588" s="257"/>
      <c r="Y588" s="257"/>
      <c r="Z588" s="257"/>
    </row>
    <row r="589" spans="2:30">
      <c r="B589" s="187" t="s">
        <v>526</v>
      </c>
      <c r="F589" s="14">
        <v>3239</v>
      </c>
      <c r="G589" s="14">
        <v>66</v>
      </c>
      <c r="H589" s="14">
        <v>716</v>
      </c>
      <c r="I589" s="14">
        <v>362</v>
      </c>
      <c r="J589" s="14">
        <v>111</v>
      </c>
    </row>
    <row r="590" spans="2:30">
      <c r="B590" s="187" t="s">
        <v>527</v>
      </c>
      <c r="F590" s="125">
        <f>SUM(F588:F589)</f>
        <v>3239</v>
      </c>
      <c r="G590" s="125">
        <f t="shared" ref="G590:J590" si="284">SUM(G588:G589)</f>
        <v>-761</v>
      </c>
      <c r="H590" s="125">
        <f t="shared" si="284"/>
        <v>-2746</v>
      </c>
      <c r="I590" s="125">
        <f t="shared" si="284"/>
        <v>362</v>
      </c>
      <c r="J590" s="256">
        <f t="shared" si="284"/>
        <v>111</v>
      </c>
      <c r="K590" s="14">
        <v>0</v>
      </c>
      <c r="L590" s="14">
        <v>0</v>
      </c>
      <c r="M590" s="14">
        <v>0</v>
      </c>
      <c r="N590" s="14">
        <v>0</v>
      </c>
      <c r="O590" s="14">
        <v>0</v>
      </c>
      <c r="R590" s="180" t="s">
        <v>528</v>
      </c>
    </row>
    <row r="591" spans="2:30">
      <c r="B591" s="7" t="s">
        <v>530</v>
      </c>
      <c r="F591" s="14">
        <v>-424</v>
      </c>
      <c r="G591" s="14">
        <v>-444</v>
      </c>
      <c r="H591" s="14">
        <v>-763</v>
      </c>
      <c r="I591" s="14">
        <v>-576</v>
      </c>
      <c r="J591" s="14">
        <v>-439</v>
      </c>
      <c r="K591" s="14">
        <f>K25*'Drivers, Inputs and Outputs'!$O$39</f>
        <v>-173.6</v>
      </c>
      <c r="L591" s="14">
        <f>L25*'Drivers, Inputs and Outputs'!$O$39</f>
        <v>-181.62</v>
      </c>
      <c r="M591" s="14">
        <f>M25*'Drivers, Inputs and Outputs'!$O$39</f>
        <v>-256.74399999999997</v>
      </c>
      <c r="N591" s="14">
        <f>N25*'Drivers, Inputs and Outputs'!$O$39</f>
        <v>-232.19279999999998</v>
      </c>
      <c r="O591" s="14">
        <f>O25*'Drivers, Inputs and Outputs'!$O$39</f>
        <v>-206.53136000000001</v>
      </c>
    </row>
    <row r="592" spans="2:30">
      <c r="B592" s="187" t="s">
        <v>529</v>
      </c>
      <c r="F592" s="14">
        <f>SUM(F590:F591)</f>
        <v>2815</v>
      </c>
      <c r="G592" s="14">
        <f t="shared" ref="G592:J592" si="285">SUM(G590:G591)</f>
        <v>-1205</v>
      </c>
      <c r="H592" s="14">
        <f t="shared" si="285"/>
        <v>-3509</v>
      </c>
      <c r="I592" s="14">
        <f t="shared" si="285"/>
        <v>-214</v>
      </c>
      <c r="J592" s="14">
        <f t="shared" si="285"/>
        <v>-328</v>
      </c>
      <c r="K592" s="13">
        <f t="shared" ref="K592" si="286">SUM(K590:K591)</f>
        <v>-173.6</v>
      </c>
      <c r="L592" s="13">
        <f t="shared" ref="L592" si="287">SUM(L590:L591)</f>
        <v>-181.62</v>
      </c>
      <c r="M592" s="13">
        <f t="shared" ref="M592" si="288">SUM(M590:M591)</f>
        <v>-256.74399999999997</v>
      </c>
      <c r="N592" s="13">
        <f t="shared" ref="N592" si="289">SUM(N590:N591)</f>
        <v>-232.19279999999998</v>
      </c>
      <c r="O592" s="13">
        <f t="shared" ref="O592" si="290">SUM(O590:O591)</f>
        <v>-206.53136000000001</v>
      </c>
    </row>
    <row r="593" spans="1:30">
      <c r="B593" s="7"/>
      <c r="F593" s="6"/>
      <c r="G593" s="6"/>
      <c r="H593" s="6"/>
      <c r="I593" s="6"/>
      <c r="J593" s="6"/>
    </row>
    <row r="594" spans="1:30">
      <c r="B594" s="187" t="s">
        <v>532</v>
      </c>
      <c r="F594" s="14">
        <f>F39</f>
        <v>1652</v>
      </c>
      <c r="G594" s="14">
        <f>G39</f>
        <v>1919</v>
      </c>
      <c r="H594" s="14">
        <f>H39</f>
        <v>2642</v>
      </c>
      <c r="I594" s="14">
        <f>I39</f>
        <v>2889</v>
      </c>
      <c r="J594" s="14">
        <f>J39</f>
        <v>4079</v>
      </c>
      <c r="K594" s="13">
        <f>K545*K595</f>
        <v>4424.18684725</v>
      </c>
      <c r="L594" s="13">
        <f t="shared" ref="L594:O594" si="291">L545*L595</f>
        <v>5058.6940800799994</v>
      </c>
      <c r="M594" s="13">
        <f t="shared" si="291"/>
        <v>5749.5926908530946</v>
      </c>
      <c r="N594" s="13">
        <f t="shared" si="291"/>
        <v>6516.7351828748951</v>
      </c>
      <c r="O594" s="13">
        <f t="shared" si="291"/>
        <v>7370.7816215478251</v>
      </c>
      <c r="R594" s="180" t="s">
        <v>539</v>
      </c>
    </row>
    <row r="595" spans="1:30">
      <c r="B595" s="187" t="s">
        <v>534</v>
      </c>
      <c r="F595" s="240">
        <f>F594/F545</f>
        <v>2.8843098433184227E-3</v>
      </c>
      <c r="G595" s="240">
        <f t="shared" ref="G595:J595" si="292">G594/G545</f>
        <v>3.1392680058041286E-3</v>
      </c>
      <c r="H595" s="240">
        <f t="shared" si="292"/>
        <v>4.076374156219865E-3</v>
      </c>
      <c r="I595" s="240">
        <f t="shared" si="292"/>
        <v>4.2423841934844378E-3</v>
      </c>
      <c r="J595" s="240">
        <f t="shared" si="292"/>
        <v>5.7195900516431725E-3</v>
      </c>
      <c r="K595" s="240">
        <v>5.8999999999999999E-3</v>
      </c>
      <c r="L595" s="240">
        <v>6.4000000000000003E-3</v>
      </c>
      <c r="M595" s="240">
        <v>6.8999999999999999E-3</v>
      </c>
      <c r="N595" s="240">
        <v>7.4000000000000003E-3</v>
      </c>
      <c r="O595" s="240">
        <v>7.9000000000000008E-3</v>
      </c>
      <c r="R595" s="180" t="s">
        <v>540</v>
      </c>
      <c r="S595" s="14"/>
      <c r="T595" s="14"/>
      <c r="U595" s="14"/>
      <c r="V595" s="14"/>
      <c r="W595" s="14"/>
    </row>
    <row r="596" spans="1:30">
      <c r="B596" s="187"/>
      <c r="F596" s="14"/>
      <c r="G596" s="14"/>
      <c r="H596" s="14"/>
      <c r="I596" s="14"/>
      <c r="J596" s="14"/>
    </row>
    <row r="597" spans="1:30">
      <c r="B597" s="187" t="s">
        <v>324</v>
      </c>
      <c r="F597" s="14">
        <f>F63</f>
        <v>-1515</v>
      </c>
      <c r="G597" s="14">
        <f>G63</f>
        <v>-2118</v>
      </c>
      <c r="H597" s="14">
        <f>H63</f>
        <v>-2248</v>
      </c>
      <c r="I597" s="14">
        <f>I63</f>
        <v>-2170</v>
      </c>
      <c r="J597" s="14">
        <f>J63</f>
        <v>-2511</v>
      </c>
      <c r="K597" s="13">
        <f>K545*K598*-1</f>
        <v>-2699.503839</v>
      </c>
      <c r="L597" s="13">
        <f t="shared" ref="L597:O597" si="293">L545*L598*-1</f>
        <v>-2885.0364675456249</v>
      </c>
      <c r="M597" s="13">
        <f t="shared" si="293"/>
        <v>-3124.7786363332038</v>
      </c>
      <c r="N597" s="13">
        <f t="shared" si="293"/>
        <v>-3478.5275638318699</v>
      </c>
      <c r="O597" s="13">
        <f t="shared" si="293"/>
        <v>-4058.5949435105108</v>
      </c>
      <c r="R597" s="180" t="s">
        <v>542</v>
      </c>
    </row>
    <row r="598" spans="1:30">
      <c r="B598" s="187" t="s">
        <v>535</v>
      </c>
      <c r="F598" s="240">
        <f>F597/F545*-1</f>
        <v>2.6451146565541228E-3</v>
      </c>
      <c r="G598" s="240">
        <f t="shared" ref="G598:J598" si="294">G597/G545*-1</f>
        <v>3.4648096072397833E-3</v>
      </c>
      <c r="H598" s="240">
        <f t="shared" si="294"/>
        <v>3.4684667309546769E-3</v>
      </c>
      <c r="I598" s="240">
        <f t="shared" si="294"/>
        <v>3.1865606437733577E-3</v>
      </c>
      <c r="J598" s="240">
        <f t="shared" si="294"/>
        <v>3.5209342043824483E-3</v>
      </c>
      <c r="K598" s="240">
        <v>3.5999999999999999E-3</v>
      </c>
      <c r="L598" s="240">
        <v>3.65E-3</v>
      </c>
      <c r="M598" s="240">
        <v>3.7499999999999999E-3</v>
      </c>
      <c r="N598" s="240">
        <v>3.9500000000000004E-3</v>
      </c>
      <c r="O598" s="240">
        <v>4.3499999999999997E-3</v>
      </c>
      <c r="R598" s="180" t="s">
        <v>541</v>
      </c>
      <c r="T598" s="14"/>
      <c r="U598" s="14"/>
      <c r="V598" s="14"/>
      <c r="W598" s="14"/>
      <c r="X598" s="14"/>
      <c r="Y598" s="14"/>
      <c r="Z598" s="14"/>
      <c r="AA598" s="14"/>
      <c r="AB598" s="14"/>
      <c r="AC598" s="14"/>
      <c r="AD598" s="14"/>
    </row>
    <row r="599" spans="1:30">
      <c r="B599" s="187"/>
      <c r="F599" s="14"/>
      <c r="G599" s="14"/>
      <c r="H599" s="14"/>
      <c r="I599" s="14"/>
      <c r="J599" s="14"/>
      <c r="T599" s="14"/>
      <c r="U599" s="14"/>
      <c r="V599" s="14"/>
      <c r="W599" s="14"/>
      <c r="X599" s="14"/>
      <c r="Y599" s="14"/>
      <c r="Z599" s="14"/>
      <c r="AA599" s="14"/>
      <c r="AB599" s="14"/>
      <c r="AC599" s="14"/>
    </row>
    <row r="600" spans="1:30">
      <c r="B600" s="187" t="s">
        <v>533</v>
      </c>
      <c r="F600" s="14">
        <f>F53</f>
        <v>-879</v>
      </c>
      <c r="G600" s="14">
        <f>G53</f>
        <v>-295</v>
      </c>
      <c r="H600" s="14">
        <f>H53</f>
        <v>-1057</v>
      </c>
      <c r="I600" s="14">
        <f>I53</f>
        <v>-212</v>
      </c>
      <c r="J600" s="14">
        <f>J53</f>
        <v>-688</v>
      </c>
      <c r="K600" s="13">
        <f>K545*K601*-1</f>
        <v>-751.89280427666995</v>
      </c>
      <c r="L600" s="13">
        <f t="shared" ref="L600:O600" si="295">L545*L601*-1</f>
        <v>-616.22284331257015</v>
      </c>
      <c r="M600" s="13">
        <f t="shared" si="295"/>
        <v>-843.89938366002366</v>
      </c>
      <c r="N600" s="13">
        <f t="shared" si="295"/>
        <v>-1231.6114321298148</v>
      </c>
      <c r="O600" s="13">
        <f t="shared" si="295"/>
        <v>-1474.6176979186605</v>
      </c>
      <c r="T600" s="255"/>
      <c r="U600" s="255"/>
      <c r="V600" s="255"/>
      <c r="W600" s="255"/>
      <c r="X600" s="255"/>
      <c r="Y600" s="255"/>
      <c r="Z600" s="255"/>
      <c r="AA600" s="255"/>
      <c r="AB600" s="255"/>
      <c r="AC600" s="255"/>
    </row>
    <row r="601" spans="1:30">
      <c r="B601" s="187" t="s">
        <v>536</v>
      </c>
      <c r="F601" s="240">
        <f>F600/F545*-1</f>
        <v>1.5346902858818969E-3</v>
      </c>
      <c r="G601" s="240">
        <f t="shared" ref="G601:J601" si="296">G600/G545*-1</f>
        <v>4.8258679609808125E-4</v>
      </c>
      <c r="H601" s="240">
        <f t="shared" si="296"/>
        <v>1.6308582449373191E-3</v>
      </c>
      <c r="I601" s="240">
        <f t="shared" si="296"/>
        <v>3.1131375874652158E-4</v>
      </c>
      <c r="J601" s="240">
        <f t="shared" si="296"/>
        <v>9.6471634114501177E-4</v>
      </c>
      <c r="K601" s="240">
        <v>1.0027079999999999E-3</v>
      </c>
      <c r="L601" s="240">
        <v>7.7961350000000003E-4</v>
      </c>
      <c r="M601" s="240">
        <v>1.0127510000000001E-3</v>
      </c>
      <c r="N601" s="240">
        <v>1.3985415000000001E-3</v>
      </c>
      <c r="O601" s="240">
        <v>1.5804944999999999E-3</v>
      </c>
      <c r="Y601" s="33"/>
      <c r="Z601" s="33"/>
      <c r="AA601" s="33"/>
      <c r="AB601" s="33"/>
      <c r="AC601" s="33"/>
    </row>
    <row r="602" spans="1:30">
      <c r="B602" s="7"/>
      <c r="F602" s="6"/>
      <c r="G602" s="6"/>
      <c r="H602" s="6"/>
      <c r="I602" s="6"/>
      <c r="J602" s="6"/>
      <c r="Y602" s="33"/>
      <c r="Z602" s="33"/>
      <c r="AA602" s="33"/>
      <c r="AB602" s="33"/>
      <c r="AC602" s="33"/>
    </row>
    <row r="604" spans="1:30">
      <c r="A604" t="s">
        <v>95</v>
      </c>
      <c r="B604" s="356" t="s">
        <v>546</v>
      </c>
      <c r="C604" s="357"/>
      <c r="D604" s="357"/>
      <c r="E604" s="357"/>
      <c r="F604" s="357"/>
      <c r="G604" s="357"/>
      <c r="H604" s="357"/>
      <c r="I604" s="357"/>
      <c r="J604" s="357"/>
      <c r="K604" s="357"/>
      <c r="L604" s="357"/>
      <c r="M604" s="357"/>
      <c r="N604" s="357"/>
      <c r="O604" s="357"/>
      <c r="P604" s="356"/>
    </row>
    <row r="605" spans="1:30">
      <c r="B605" s="4" t="s">
        <v>1</v>
      </c>
    </row>
    <row r="606" spans="1:30">
      <c r="F606" s="3">
        <f t="shared" ref="F606:P606" si="297">F479</f>
        <v>44592</v>
      </c>
      <c r="G606" s="3">
        <f t="shared" si="297"/>
        <v>44957</v>
      </c>
      <c r="H606" s="3">
        <f t="shared" si="297"/>
        <v>45322</v>
      </c>
      <c r="I606" s="3">
        <f t="shared" si="297"/>
        <v>45688</v>
      </c>
      <c r="J606" s="3">
        <f t="shared" si="297"/>
        <v>46053</v>
      </c>
      <c r="K606" s="2">
        <f t="shared" si="297"/>
        <v>46418</v>
      </c>
      <c r="L606" s="2">
        <f t="shared" si="297"/>
        <v>46783</v>
      </c>
      <c r="M606" s="2">
        <f t="shared" si="297"/>
        <v>47149</v>
      </c>
      <c r="N606" s="2">
        <f t="shared" si="297"/>
        <v>47514</v>
      </c>
      <c r="O606" s="2">
        <f t="shared" si="297"/>
        <v>47879</v>
      </c>
      <c r="P606" s="1" t="str">
        <f t="shared" si="297"/>
        <v>Term</v>
      </c>
    </row>
    <row r="607" spans="1:30" ht="19.649999999999999">
      <c r="B607" s="131"/>
      <c r="E607" s="132"/>
      <c r="H607" s="133"/>
      <c r="I607" s="133"/>
      <c r="J607" s="133"/>
      <c r="K607" s="133"/>
      <c r="L607" s="133"/>
      <c r="M607" s="133"/>
      <c r="N607" s="133"/>
      <c r="O607" s="133"/>
      <c r="P607" s="133"/>
    </row>
    <row r="608" spans="1:30">
      <c r="B608" s="134" t="s">
        <v>340</v>
      </c>
      <c r="C608" s="258"/>
      <c r="D608" s="354">
        <f>'Drivers, Inputs and Outputs'!G94</f>
        <v>0.03</v>
      </c>
      <c r="E608" s="47"/>
      <c r="H608" s="135"/>
      <c r="I608" s="135"/>
      <c r="J608" s="136" t="s">
        <v>341</v>
      </c>
      <c r="K608" s="137" t="s">
        <v>342</v>
      </c>
      <c r="L608" s="138"/>
      <c r="M608" s="138"/>
      <c r="N608" s="138"/>
      <c r="O608" s="138"/>
      <c r="P608" s="139" t="s">
        <v>0</v>
      </c>
    </row>
    <row r="609" spans="2:18" ht="19.649999999999999">
      <c r="B609" s="140" t="s">
        <v>343</v>
      </c>
      <c r="C609" s="116"/>
      <c r="D609" s="141">
        <f>'Drivers, Inputs and Outputs'!G96</f>
        <v>6.9680317614409834E-2</v>
      </c>
      <c r="E609" s="47"/>
      <c r="H609" s="133"/>
      <c r="I609" s="133"/>
      <c r="J609" s="142" t="s">
        <v>344</v>
      </c>
      <c r="K609" s="142" t="s">
        <v>344</v>
      </c>
      <c r="L609" s="143" t="s">
        <v>344</v>
      </c>
      <c r="M609" s="143" t="s">
        <v>344</v>
      </c>
      <c r="N609" s="143" t="s">
        <v>344</v>
      </c>
      <c r="O609" s="143" t="s">
        <v>344</v>
      </c>
      <c r="P609" s="144" t="s">
        <v>344</v>
      </c>
    </row>
    <row r="610" spans="2:18" ht="19.649999999999999">
      <c r="D610" s="133"/>
      <c r="E610" s="47"/>
      <c r="H610" s="145" t="s">
        <v>345</v>
      </c>
      <c r="I610" s="133"/>
      <c r="J610" s="146">
        <f>'Drivers, Inputs and Outputs'!G37</f>
        <v>46174</v>
      </c>
      <c r="K610" s="146">
        <f>'Drivers, Inputs and Outputs'!G39</f>
        <v>46418</v>
      </c>
      <c r="L610" s="147">
        <f>EDATE(K610,12)</f>
        <v>46783</v>
      </c>
      <c r="M610" s="147">
        <f t="shared" ref="M610:P611" si="298">EDATE(L610,12)</f>
        <v>47149</v>
      </c>
      <c r="N610" s="147">
        <f t="shared" si="298"/>
        <v>47514</v>
      </c>
      <c r="O610" s="147">
        <f t="shared" si="298"/>
        <v>47879</v>
      </c>
      <c r="P610" s="148">
        <f t="shared" si="298"/>
        <v>48244</v>
      </c>
    </row>
    <row r="611" spans="2:18" ht="20.3" thickBot="1">
      <c r="D611" s="132"/>
      <c r="E611" s="132"/>
      <c r="H611" s="145" t="s">
        <v>346</v>
      </c>
      <c r="I611" s="133"/>
      <c r="J611" s="146">
        <f>J610</f>
        <v>46174</v>
      </c>
      <c r="K611" s="146">
        <f>'Drivers, Inputs and Outputs'!G38</f>
        <v>46234</v>
      </c>
      <c r="L611" s="147">
        <f>EDATE(K611,12)</f>
        <v>46599</v>
      </c>
      <c r="M611" s="147">
        <f t="shared" si="298"/>
        <v>46965</v>
      </c>
      <c r="N611" s="147">
        <f t="shared" si="298"/>
        <v>47330</v>
      </c>
      <c r="O611" s="147">
        <f t="shared" si="298"/>
        <v>47695</v>
      </c>
      <c r="P611" s="149">
        <f t="shared" si="298"/>
        <v>48060</v>
      </c>
      <c r="R611" s="180" t="s">
        <v>627</v>
      </c>
    </row>
    <row r="612" spans="2:18" ht="19.649999999999999">
      <c r="B612" s="150"/>
      <c r="C612" s="95"/>
      <c r="D612" s="132"/>
      <c r="E612" s="132"/>
      <c r="H612" s="135"/>
      <c r="I612" s="135"/>
      <c r="J612" s="151"/>
      <c r="K612" s="151"/>
      <c r="L612" s="151"/>
      <c r="M612" s="151"/>
      <c r="N612" s="151"/>
      <c r="O612" s="151"/>
      <c r="P612" s="151"/>
      <c r="R612" s="180" t="s">
        <v>628</v>
      </c>
    </row>
    <row r="613" spans="2:18" ht="19.649999999999999">
      <c r="B613" s="152" t="s">
        <v>335</v>
      </c>
      <c r="C613" s="133"/>
      <c r="D613" s="47"/>
      <c r="E613" s="47"/>
      <c r="H613" s="102"/>
      <c r="I613" s="102"/>
      <c r="J613" s="153">
        <v>0</v>
      </c>
      <c r="K613" s="232">
        <f t="shared" ref="K613:P613" si="299">K505</f>
        <v>14010.617757014159</v>
      </c>
      <c r="L613" s="232">
        <f t="shared" ca="1" si="299"/>
        <v>16692.809949586132</v>
      </c>
      <c r="M613" s="232">
        <f t="shared" ca="1" si="299"/>
        <v>19183.57254600343</v>
      </c>
      <c r="N613" s="232">
        <f t="shared" ca="1" si="299"/>
        <v>20590.942040820843</v>
      </c>
      <c r="O613" s="232">
        <f t="shared" ca="1" si="299"/>
        <v>24029.581821531447</v>
      </c>
      <c r="P613" s="233">
        <f t="shared" si="299"/>
        <v>38963.164286902698</v>
      </c>
    </row>
    <row r="614" spans="2:18" ht="19.649999999999999">
      <c r="B614" s="133"/>
      <c r="C614" s="133"/>
      <c r="D614" s="133"/>
      <c r="E614" s="133"/>
      <c r="H614" s="133"/>
      <c r="I614" s="133"/>
      <c r="J614" s="133"/>
      <c r="K614" s="133"/>
      <c r="L614" s="133"/>
      <c r="M614" s="133"/>
      <c r="N614" s="133"/>
      <c r="O614" s="133"/>
      <c r="P614" s="133"/>
    </row>
    <row r="615" spans="2:18" ht="15.75" customHeight="1">
      <c r="B615" s="131"/>
      <c r="C615" s="133"/>
      <c r="D615" s="154"/>
      <c r="E615" s="47"/>
      <c r="H615" s="154"/>
      <c r="I615" s="47"/>
      <c r="J615" s="47"/>
      <c r="K615" s="62"/>
      <c r="L615" s="62"/>
      <c r="M615" s="62"/>
      <c r="N615" s="62"/>
      <c r="O615" s="62"/>
      <c r="P615" s="133"/>
    </row>
    <row r="616" spans="2:18" ht="15.75" customHeight="1">
      <c r="B616" s="46" t="s">
        <v>620</v>
      </c>
      <c r="C616" s="133"/>
      <c r="D616" s="154"/>
      <c r="E616" s="47"/>
      <c r="H616" s="154"/>
      <c r="I616" s="47"/>
      <c r="J616" s="47"/>
      <c r="K616" s="62"/>
      <c r="L616" s="62"/>
      <c r="M616" s="62"/>
      <c r="N616" s="62"/>
      <c r="O616" s="62"/>
      <c r="P616" s="133"/>
    </row>
    <row r="617" spans="2:18" ht="15.05" customHeight="1">
      <c r="B617" s="155" t="s">
        <v>342</v>
      </c>
      <c r="C617" s="133"/>
      <c r="D617" s="156"/>
      <c r="E617" s="47"/>
      <c r="H617" s="154"/>
      <c r="I617" s="102"/>
      <c r="J617" s="157">
        <v>0</v>
      </c>
      <c r="K617" s="234">
        <f>K613</f>
        <v>14010.617757014159</v>
      </c>
      <c r="L617" s="234">
        <f ca="1">L613</f>
        <v>16692.809949586132</v>
      </c>
      <c r="M617" s="234">
        <f ca="1">M613</f>
        <v>19183.57254600343</v>
      </c>
      <c r="N617" s="234">
        <f ca="1">N613</f>
        <v>20590.942040820843</v>
      </c>
      <c r="O617" s="234">
        <f ca="1">O613</f>
        <v>24029.581821531447</v>
      </c>
      <c r="P617" s="158"/>
    </row>
    <row r="618" spans="2:18" ht="15.75" customHeight="1">
      <c r="B618" s="155" t="s">
        <v>347</v>
      </c>
      <c r="C618" s="133"/>
      <c r="D618" s="47"/>
      <c r="E618" s="47"/>
      <c r="H618" s="154"/>
      <c r="I618" s="102"/>
      <c r="J618" s="159">
        <v>0</v>
      </c>
      <c r="K618" s="235">
        <v>0</v>
      </c>
      <c r="L618" s="235">
        <v>0</v>
      </c>
      <c r="M618" s="235">
        <v>0</v>
      </c>
      <c r="N618" s="235">
        <v>0</v>
      </c>
      <c r="O618" s="236">
        <f>P613/(D609-D608)</f>
        <v>981926.72411355132</v>
      </c>
      <c r="P618" s="158"/>
    </row>
    <row r="619" spans="2:18" ht="15.75" customHeight="1">
      <c r="B619" s="155" t="s">
        <v>348</v>
      </c>
      <c r="C619" s="133"/>
      <c r="D619" s="160"/>
      <c r="E619" s="160"/>
      <c r="H619" s="102"/>
      <c r="I619" s="102"/>
      <c r="J619" s="72">
        <f t="shared" ref="J619:O619" si="300">SUM(J617:J618)</f>
        <v>0</v>
      </c>
      <c r="K619" s="234">
        <f t="shared" si="300"/>
        <v>14010.617757014159</v>
      </c>
      <c r="L619" s="234">
        <f t="shared" ca="1" si="300"/>
        <v>16692.809949586132</v>
      </c>
      <c r="M619" s="234">
        <f t="shared" ca="1" si="300"/>
        <v>19183.57254600343</v>
      </c>
      <c r="N619" s="234">
        <f t="shared" ca="1" si="300"/>
        <v>20590.942040820843</v>
      </c>
      <c r="O619" s="234">
        <f t="shared" ca="1" si="300"/>
        <v>1005956.3059350827</v>
      </c>
      <c r="P619" s="102"/>
    </row>
    <row r="620" spans="2:18" ht="15.75" customHeight="1">
      <c r="B620" s="46"/>
      <c r="C620" s="133"/>
      <c r="D620" s="47"/>
      <c r="E620" s="47"/>
      <c r="H620" s="161"/>
      <c r="I620" s="161"/>
      <c r="J620" s="161"/>
      <c r="K620" s="237"/>
      <c r="L620" s="237"/>
      <c r="M620" s="237"/>
      <c r="N620" s="237"/>
      <c r="O620" s="238"/>
      <c r="P620" s="154"/>
    </row>
    <row r="621" spans="2:18" ht="15.75" customHeight="1">
      <c r="B621" s="46" t="s">
        <v>621</v>
      </c>
      <c r="C621" s="133"/>
      <c r="D621" s="47"/>
      <c r="E621" s="47"/>
      <c r="H621" s="154"/>
      <c r="I621" s="47"/>
      <c r="J621" s="47"/>
      <c r="K621" s="239"/>
      <c r="L621" s="239"/>
      <c r="M621" s="239"/>
      <c r="N621" s="239"/>
      <c r="O621" s="239"/>
      <c r="P621" s="102"/>
    </row>
    <row r="622" spans="2:18" ht="15.75" customHeight="1">
      <c r="B622" s="101" t="s">
        <v>349</v>
      </c>
      <c r="C622" s="133"/>
      <c r="D622" s="47"/>
      <c r="E622" s="47"/>
      <c r="H622" s="161"/>
      <c r="I622" s="161"/>
      <c r="J622" s="157">
        <v>0</v>
      </c>
      <c r="K622" s="240">
        <f>YEARFRAC(J610,K610)</f>
        <v>0.66666666666666663</v>
      </c>
      <c r="L622" s="240">
        <f t="shared" ref="L622:O622" si="301">YEARFRAC(K610,L610)</f>
        <v>1</v>
      </c>
      <c r="M622" s="240">
        <f t="shared" si="301"/>
        <v>1</v>
      </c>
      <c r="N622" s="240">
        <f t="shared" si="301"/>
        <v>1</v>
      </c>
      <c r="O622" s="240">
        <f t="shared" si="301"/>
        <v>1</v>
      </c>
      <c r="P622" s="102"/>
    </row>
    <row r="623" spans="2:18" ht="15.75" customHeight="1">
      <c r="B623" s="101"/>
      <c r="C623" s="133"/>
      <c r="D623" s="47"/>
      <c r="E623" s="47"/>
      <c r="H623" s="161"/>
      <c r="I623" s="161"/>
      <c r="J623" s="157"/>
      <c r="K623" s="240"/>
      <c r="L623" s="240"/>
      <c r="M623" s="240"/>
      <c r="N623" s="240"/>
      <c r="O623" s="240"/>
      <c r="P623" s="102"/>
    </row>
    <row r="624" spans="2:18" ht="15.75" customHeight="1">
      <c r="B624" s="155" t="s">
        <v>342</v>
      </c>
      <c r="C624" s="133"/>
      <c r="D624" s="156"/>
      <c r="E624" s="47"/>
      <c r="H624" s="154"/>
      <c r="I624" s="102"/>
      <c r="J624" s="157">
        <v>0</v>
      </c>
      <c r="K624" s="234">
        <f>K622*K617</f>
        <v>9340.4118380094387</v>
      </c>
      <c r="L624" s="234">
        <f ca="1">L622*L617</f>
        <v>16692.809949586132</v>
      </c>
      <c r="M624" s="234">
        <f ca="1">M622*M617</f>
        <v>19183.57254600343</v>
      </c>
      <c r="N624" s="234">
        <f ca="1">N622*N617</f>
        <v>20590.942040820843</v>
      </c>
      <c r="O624" s="234">
        <f ca="1">O622*O617</f>
        <v>24029.581821531447</v>
      </c>
      <c r="P624" s="102"/>
    </row>
    <row r="625" spans="2:16" ht="15.75" customHeight="1">
      <c r="B625" s="155" t="s">
        <v>347</v>
      </c>
      <c r="C625" s="133"/>
      <c r="D625" s="47"/>
      <c r="E625" s="47"/>
      <c r="H625" s="154"/>
      <c r="I625" s="102"/>
      <c r="J625" s="159">
        <v>0</v>
      </c>
      <c r="K625" s="236">
        <f>K622*K618</f>
        <v>0</v>
      </c>
      <c r="L625" s="236">
        <f t="shared" ref="L625:O625" si="302">L622*L618</f>
        <v>0</v>
      </c>
      <c r="M625" s="236">
        <f t="shared" si="302"/>
        <v>0</v>
      </c>
      <c r="N625" s="236">
        <f t="shared" si="302"/>
        <v>0</v>
      </c>
      <c r="O625" s="236">
        <f t="shared" si="302"/>
        <v>981926.72411355132</v>
      </c>
      <c r="P625" s="102"/>
    </row>
    <row r="626" spans="2:16" ht="15.75" customHeight="1">
      <c r="B626" s="155" t="s">
        <v>348</v>
      </c>
      <c r="C626" s="133"/>
      <c r="D626" s="160"/>
      <c r="E626" s="160"/>
      <c r="H626" s="102"/>
      <c r="I626" s="102"/>
      <c r="J626" s="72">
        <f t="shared" ref="J626:O626" si="303">SUM(J624:J625)</f>
        <v>0</v>
      </c>
      <c r="K626" s="234">
        <f t="shared" si="303"/>
        <v>9340.4118380094387</v>
      </c>
      <c r="L626" s="234">
        <f t="shared" ca="1" si="303"/>
        <v>16692.809949586132</v>
      </c>
      <c r="M626" s="234">
        <f t="shared" ca="1" si="303"/>
        <v>19183.57254600343</v>
      </c>
      <c r="N626" s="234">
        <f t="shared" ca="1" si="303"/>
        <v>20590.942040820843</v>
      </c>
      <c r="O626" s="234">
        <f t="shared" ca="1" si="303"/>
        <v>1005956.3059350827</v>
      </c>
      <c r="P626" s="102"/>
    </row>
    <row r="627" spans="2:16" ht="15.75" customHeight="1">
      <c r="B627" s="101"/>
      <c r="C627" s="133"/>
      <c r="D627" s="47"/>
      <c r="E627" s="47"/>
      <c r="H627" s="161"/>
      <c r="I627" s="161"/>
      <c r="J627" s="157"/>
      <c r="K627" s="240"/>
      <c r="L627" s="240"/>
      <c r="M627" s="240"/>
      <c r="N627" s="240"/>
      <c r="O627" s="240"/>
      <c r="P627" s="102"/>
    </row>
    <row r="628" spans="2:16" ht="15.75" customHeight="1">
      <c r="B628" s="46" t="s">
        <v>622</v>
      </c>
      <c r="C628" s="133"/>
      <c r="D628" s="47"/>
      <c r="E628" s="47"/>
      <c r="H628" s="154"/>
      <c r="I628" s="47"/>
      <c r="J628" s="47"/>
      <c r="K628" s="239"/>
      <c r="L628" s="239"/>
      <c r="M628" s="239"/>
      <c r="N628" s="239"/>
      <c r="O628" s="239"/>
      <c r="P628" s="102"/>
    </row>
    <row r="629" spans="2:16" ht="15.75" customHeight="1">
      <c r="B629" s="101" t="s">
        <v>350</v>
      </c>
      <c r="C629" s="154"/>
      <c r="D629" s="47"/>
      <c r="E629" s="47"/>
      <c r="H629" s="102"/>
      <c r="I629" s="102"/>
      <c r="J629" s="163">
        <v>0</v>
      </c>
      <c r="K629" s="241">
        <f>J629+YEARFRAC(J611,K611)</f>
        <v>0.16666666666666666</v>
      </c>
      <c r="L629" s="241">
        <f>K629+YEARFRAC(K611,L611)</f>
        <v>1.1666666666666667</v>
      </c>
      <c r="M629" s="241">
        <f t="shared" ref="M629:O629" si="304">L629+YEARFRAC(L611,M611)</f>
        <v>2.166666666666667</v>
      </c>
      <c r="N629" s="241">
        <f t="shared" si="304"/>
        <v>3.166666666666667</v>
      </c>
      <c r="O629" s="241">
        <f t="shared" si="304"/>
        <v>4.166666666666667</v>
      </c>
      <c r="P629" s="102"/>
    </row>
    <row r="630" spans="2:16" ht="15.75" customHeight="1">
      <c r="B630" s="101"/>
      <c r="C630" s="154"/>
      <c r="D630" s="47"/>
      <c r="E630" s="47"/>
      <c r="H630" s="102"/>
      <c r="I630" s="102"/>
      <c r="J630" s="163"/>
      <c r="K630" s="241"/>
      <c r="L630" s="241"/>
      <c r="M630" s="241"/>
      <c r="N630" s="241"/>
      <c r="O630" s="241"/>
      <c r="P630" s="102"/>
    </row>
    <row r="631" spans="2:16" ht="15.75" customHeight="1">
      <c r="B631" s="155" t="s">
        <v>342</v>
      </c>
      <c r="C631" s="133"/>
      <c r="D631" s="156"/>
      <c r="E631" s="47"/>
      <c r="H631" s="154"/>
      <c r="I631" s="102"/>
      <c r="J631" s="165">
        <v>0</v>
      </c>
      <c r="K631" s="234">
        <f t="shared" ref="K631:O632" si="305">K624/(1+$D$609)^K$629</f>
        <v>9236.1368284146392</v>
      </c>
      <c r="L631" s="234">
        <f t="shared" ca="1" si="305"/>
        <v>15431.202721863205</v>
      </c>
      <c r="M631" s="234">
        <f t="shared" ca="1" si="305"/>
        <v>16578.522072059735</v>
      </c>
      <c r="N631" s="234">
        <f t="shared" ca="1" si="305"/>
        <v>16635.602495918723</v>
      </c>
      <c r="O631" s="234">
        <f t="shared" ca="1" si="305"/>
        <v>18149.076303436927</v>
      </c>
      <c r="P631" s="102"/>
    </row>
    <row r="632" spans="2:16" ht="15.75" customHeight="1">
      <c r="B632" s="155" t="s">
        <v>347</v>
      </c>
      <c r="C632" s="133"/>
      <c r="D632" s="47"/>
      <c r="E632" s="47"/>
      <c r="H632" s="154"/>
      <c r="I632" s="102"/>
      <c r="J632" s="159">
        <v>0</v>
      </c>
      <c r="K632" s="236">
        <f t="shared" si="305"/>
        <v>0</v>
      </c>
      <c r="L632" s="236">
        <f t="shared" si="305"/>
        <v>0</v>
      </c>
      <c r="M632" s="236">
        <f t="shared" si="305"/>
        <v>0</v>
      </c>
      <c r="N632" s="236">
        <f t="shared" si="305"/>
        <v>0</v>
      </c>
      <c r="O632" s="236">
        <f t="shared" si="305"/>
        <v>741630.1778648654</v>
      </c>
      <c r="P632" s="102"/>
    </row>
    <row r="633" spans="2:16" ht="15.75" customHeight="1">
      <c r="B633" s="155" t="s">
        <v>348</v>
      </c>
      <c r="C633" s="133"/>
      <c r="D633" s="160"/>
      <c r="E633" s="160"/>
      <c r="H633" s="102"/>
      <c r="I633" s="102"/>
      <c r="J633" s="72">
        <f t="shared" ref="J633:O633" si="306">SUM(J631:J632)</f>
        <v>0</v>
      </c>
      <c r="K633" s="234">
        <f t="shared" si="306"/>
        <v>9236.1368284146392</v>
      </c>
      <c r="L633" s="234">
        <f t="shared" ca="1" si="306"/>
        <v>15431.202721863205</v>
      </c>
      <c r="M633" s="234">
        <f t="shared" ca="1" si="306"/>
        <v>16578.522072059735</v>
      </c>
      <c r="N633" s="234">
        <f t="shared" ca="1" si="306"/>
        <v>16635.602495918723</v>
      </c>
      <c r="O633" s="234">
        <f t="shared" ca="1" si="306"/>
        <v>759779.25416830229</v>
      </c>
      <c r="P633" s="102"/>
    </row>
    <row r="634" spans="2:16" ht="15.75" customHeight="1">
      <c r="B634" s="101"/>
      <c r="C634" s="133"/>
      <c r="D634" s="47"/>
      <c r="E634" s="47"/>
      <c r="H634" s="161"/>
      <c r="I634" s="161"/>
      <c r="J634" s="157"/>
      <c r="K634" s="162"/>
      <c r="L634" s="162"/>
      <c r="M634" s="162"/>
      <c r="N634" s="162"/>
      <c r="O634" s="162"/>
      <c r="P634" s="102"/>
    </row>
    <row r="635" spans="2:16" ht="15.75" customHeight="1">
      <c r="B635" s="154"/>
      <c r="C635" s="154"/>
      <c r="D635" s="154"/>
      <c r="E635" s="154"/>
      <c r="H635" s="166"/>
      <c r="I635" s="166"/>
      <c r="J635" s="166"/>
      <c r="K635" s="166"/>
      <c r="L635" s="166"/>
      <c r="M635" s="166"/>
      <c r="N635" s="166"/>
      <c r="O635" s="166"/>
      <c r="P635" s="154"/>
    </row>
    <row r="636" spans="2:16" ht="15.75" customHeight="1">
      <c r="B636" s="154"/>
      <c r="C636" s="154"/>
      <c r="D636" s="154"/>
      <c r="E636" s="154"/>
      <c r="H636" s="166"/>
      <c r="I636" s="166"/>
      <c r="J636" s="166"/>
      <c r="K636" s="166"/>
      <c r="L636" s="166"/>
      <c r="M636" s="166"/>
      <c r="N636" s="166"/>
      <c r="O636" s="166"/>
      <c r="P636" s="154"/>
    </row>
    <row r="637" spans="2:16" ht="15.75" customHeight="1">
      <c r="B637" s="154"/>
      <c r="C637" s="154"/>
      <c r="D637" s="154"/>
      <c r="E637" s="154"/>
      <c r="H637" s="167" t="s">
        <v>356</v>
      </c>
      <c r="I637" s="168"/>
      <c r="J637" s="166"/>
      <c r="K637" s="166"/>
      <c r="L637" s="167" t="s">
        <v>356</v>
      </c>
      <c r="M637" s="168"/>
      <c r="N637" s="166"/>
      <c r="O637" s="166"/>
      <c r="P637" s="154"/>
    </row>
    <row r="638" spans="2:16" ht="15.75" customHeight="1">
      <c r="B638" s="154"/>
      <c r="C638" s="154"/>
      <c r="D638" s="154"/>
      <c r="E638" s="154"/>
      <c r="H638" s="169" t="s">
        <v>352</v>
      </c>
      <c r="I638" s="170"/>
      <c r="J638" s="242">
        <f ca="1">SUM(K633:O633)</f>
        <v>817660.71828655864</v>
      </c>
      <c r="K638" s="171"/>
      <c r="L638" s="169" t="s">
        <v>353</v>
      </c>
      <c r="M638" s="170"/>
      <c r="N638" s="244">
        <f ca="1">O638/O640</f>
        <v>9.2985438484825753E-2</v>
      </c>
      <c r="O638" s="242">
        <f ca="1">SUM(K631:O631)</f>
        <v>76030.540421693237</v>
      </c>
      <c r="P638" s="154"/>
    </row>
    <row r="639" spans="2:16" ht="15.75" customHeight="1">
      <c r="B639" s="154"/>
      <c r="C639" s="154"/>
      <c r="D639" s="154"/>
      <c r="E639" s="154"/>
      <c r="H639" s="172" t="s">
        <v>354</v>
      </c>
      <c r="I639" s="173"/>
      <c r="J639" s="243">
        <f ca="1">XNPV(D609,J626:O626,J611:O611)</f>
        <v>817640.121709681</v>
      </c>
      <c r="K639" s="171"/>
      <c r="L639" s="174" t="s">
        <v>355</v>
      </c>
      <c r="M639" s="166"/>
      <c r="N639" s="245">
        <f ca="1">O639/O640</f>
        <v>0.90701456151517423</v>
      </c>
      <c r="O639" s="246">
        <f>O632</f>
        <v>741630.1778648654</v>
      </c>
      <c r="P639" s="154"/>
    </row>
    <row r="640" spans="2:16" ht="15.75" customHeight="1">
      <c r="B640" s="154"/>
      <c r="C640" s="154"/>
      <c r="D640" s="154"/>
      <c r="E640" s="154"/>
      <c r="H640" s="154"/>
      <c r="I640" s="154"/>
      <c r="J640" s="154"/>
      <c r="K640" s="175"/>
      <c r="L640" s="174" t="s">
        <v>356</v>
      </c>
      <c r="M640" s="166"/>
      <c r="N640" s="244">
        <f ca="1">SUM(N638:N639)</f>
        <v>1</v>
      </c>
      <c r="O640" s="242">
        <f ca="1">J638</f>
        <v>817660.71828655864</v>
      </c>
      <c r="P640" s="154"/>
    </row>
    <row r="641" spans="1:16" ht="15.75" customHeight="1">
      <c r="B641" s="154"/>
      <c r="C641" s="154"/>
      <c r="D641" s="154"/>
      <c r="E641" s="154"/>
      <c r="H641" s="166"/>
      <c r="I641" s="166"/>
      <c r="J641" s="166"/>
      <c r="K641" s="175"/>
      <c r="L641" s="170"/>
      <c r="M641" s="170"/>
      <c r="N641" s="170"/>
      <c r="O641" s="170"/>
      <c r="P641" s="154"/>
    </row>
    <row r="642" spans="1:16" ht="15.75" customHeight="1">
      <c r="B642" s="154"/>
      <c r="C642" s="154"/>
      <c r="D642" s="154"/>
      <c r="E642" s="154"/>
      <c r="H642" s="166"/>
      <c r="I642" s="166"/>
      <c r="J642" s="166"/>
      <c r="K642" s="175"/>
      <c r="L642" s="166"/>
      <c r="M642" s="166"/>
      <c r="N642" s="166"/>
      <c r="O642" s="166"/>
      <c r="P642" s="154"/>
    </row>
    <row r="643" spans="1:16" ht="15.75" customHeight="1">
      <c r="B643" s="154"/>
      <c r="C643" s="154"/>
      <c r="D643" s="154"/>
      <c r="E643" s="154"/>
      <c r="H643" s="167" t="s">
        <v>359</v>
      </c>
      <c r="I643" s="102"/>
      <c r="J643" s="166"/>
      <c r="K643" s="175"/>
      <c r="L643" s="167" t="s">
        <v>623</v>
      </c>
      <c r="M643" s="102"/>
      <c r="N643" s="166"/>
      <c r="O643" s="166"/>
      <c r="P643" s="154"/>
    </row>
    <row r="644" spans="1:16" ht="15.75" customHeight="1">
      <c r="B644" s="154"/>
      <c r="C644" s="154"/>
      <c r="D644" s="154"/>
      <c r="E644" s="154"/>
      <c r="H644" s="169" t="s">
        <v>356</v>
      </c>
      <c r="I644" s="170"/>
      <c r="J644" s="242">
        <f ca="1">J638</f>
        <v>817660.71828655864</v>
      </c>
      <c r="K644" s="171"/>
      <c r="L644" s="169" t="s">
        <v>359</v>
      </c>
      <c r="M644" s="170"/>
      <c r="N644" s="170"/>
      <c r="O644" s="242">
        <f ca="1">J646</f>
        <v>776864.71828655864</v>
      </c>
      <c r="P644" s="154"/>
    </row>
    <row r="645" spans="1:16" ht="15.75" customHeight="1">
      <c r="B645" s="154"/>
      <c r="C645" s="154"/>
      <c r="D645" s="154"/>
      <c r="E645" s="154"/>
      <c r="H645" s="174" t="s">
        <v>360</v>
      </c>
      <c r="I645" s="166"/>
      <c r="J645" s="246">
        <f>'Drivers, Inputs and Outputs'!G91*-1</f>
        <v>-40796</v>
      </c>
      <c r="K645" s="175"/>
      <c r="L645" s="174" t="s">
        <v>361</v>
      </c>
      <c r="M645" s="166"/>
      <c r="N645" s="176" t="s">
        <v>362</v>
      </c>
      <c r="O645" s="246">
        <f>'Drivers, Inputs and Outputs'!G92</f>
        <v>7971</v>
      </c>
      <c r="P645" s="154"/>
    </row>
    <row r="646" spans="1:16" ht="15.75" customHeight="1">
      <c r="B646" s="154"/>
      <c r="C646" s="154"/>
      <c r="D646" s="154"/>
      <c r="E646" s="154"/>
      <c r="H646" s="172" t="s">
        <v>359</v>
      </c>
      <c r="I646" s="173"/>
      <c r="J646" s="247">
        <f ca="1">SUM(J644:J645)</f>
        <v>776864.71828655864</v>
      </c>
      <c r="K646" s="171"/>
      <c r="L646" s="174" t="s">
        <v>359</v>
      </c>
      <c r="M646" s="166"/>
      <c r="N646" s="177" t="s">
        <v>363</v>
      </c>
      <c r="O646" s="248">
        <f ca="1">O644/O645</f>
        <v>97.461387314836117</v>
      </c>
      <c r="P646" s="154"/>
    </row>
    <row r="647" spans="1:16" ht="15.75" customHeight="1">
      <c r="B647" s="154"/>
      <c r="C647" s="102"/>
      <c r="D647" s="154"/>
      <c r="E647" s="154"/>
      <c r="H647" s="166"/>
      <c r="I647" s="166"/>
      <c r="J647" s="166"/>
      <c r="K647" s="166"/>
      <c r="L647" s="170"/>
      <c r="M647" s="170"/>
      <c r="N647" s="170"/>
      <c r="O647" s="170"/>
      <c r="P647" s="154"/>
    </row>
    <row r="648" spans="1:16" ht="15.75" customHeight="1">
      <c r="P648" s="24"/>
    </row>
    <row r="649" spans="1:16" ht="15.75" customHeight="1">
      <c r="A649" t="s">
        <v>95</v>
      </c>
      <c r="B649" s="356" t="s">
        <v>547</v>
      </c>
      <c r="C649" s="357"/>
      <c r="D649" s="357"/>
      <c r="E649" s="357"/>
      <c r="F649" s="357"/>
      <c r="G649" s="357"/>
      <c r="H649" s="357"/>
      <c r="I649" s="357"/>
      <c r="J649" s="357"/>
      <c r="K649" s="357"/>
      <c r="L649" s="357"/>
      <c r="M649" s="357"/>
      <c r="N649" s="357"/>
      <c r="O649" s="357"/>
      <c r="P649" s="356"/>
    </row>
    <row r="650" spans="1:16" ht="15.75" customHeight="1">
      <c r="B650" s="4" t="s">
        <v>1</v>
      </c>
    </row>
    <row r="651" spans="1:16" ht="15.75" customHeight="1">
      <c r="F651" s="3">
        <f>F606</f>
        <v>44592</v>
      </c>
      <c r="G651" s="3">
        <f t="shared" ref="G651:P651" si="307">G606</f>
        <v>44957</v>
      </c>
      <c r="H651" s="3">
        <f t="shared" si="307"/>
        <v>45322</v>
      </c>
      <c r="I651" s="3">
        <f t="shared" si="307"/>
        <v>45688</v>
      </c>
      <c r="J651" s="3">
        <f t="shared" si="307"/>
        <v>46053</v>
      </c>
      <c r="K651" s="2">
        <f t="shared" si="307"/>
        <v>46418</v>
      </c>
      <c r="L651" s="2">
        <f t="shared" si="307"/>
        <v>46783</v>
      </c>
      <c r="M651" s="2">
        <f t="shared" si="307"/>
        <v>47149</v>
      </c>
      <c r="N651" s="2">
        <f t="shared" si="307"/>
        <v>47514</v>
      </c>
      <c r="O651" s="2">
        <f t="shared" si="307"/>
        <v>47879</v>
      </c>
      <c r="P651" s="1" t="str">
        <f t="shared" si="307"/>
        <v>Term</v>
      </c>
    </row>
    <row r="652" spans="1:16" ht="15.75" customHeight="1"/>
    <row r="653" spans="1:16" ht="15.75" customHeight="1">
      <c r="B653" s="133"/>
      <c r="C653" s="131"/>
      <c r="D653" s="95"/>
      <c r="E653" s="132"/>
      <c r="F653" s="132"/>
      <c r="H653" s="135"/>
      <c r="I653" s="135"/>
      <c r="J653" s="135"/>
      <c r="K653" s="135"/>
      <c r="L653" s="135"/>
      <c r="M653" s="135"/>
      <c r="N653" s="135"/>
      <c r="O653" s="135"/>
      <c r="P653" s="135"/>
    </row>
    <row r="654" spans="1:16" ht="15.75" customHeight="1">
      <c r="B654" s="134" t="s">
        <v>604</v>
      </c>
      <c r="C654" s="258"/>
      <c r="D654" s="290">
        <v>18.829999999999998</v>
      </c>
      <c r="E654" s="133"/>
      <c r="F654" s="132"/>
      <c r="H654" s="135"/>
      <c r="I654" s="135"/>
      <c r="J654" s="136" t="s">
        <v>341</v>
      </c>
      <c r="K654" s="137" t="s">
        <v>342</v>
      </c>
      <c r="L654" s="138"/>
      <c r="M654" s="138"/>
      <c r="N654" s="138"/>
      <c r="O654" s="138"/>
      <c r="P654" s="139" t="s">
        <v>0</v>
      </c>
    </row>
    <row r="655" spans="1:16" ht="15.75" customHeight="1">
      <c r="B655" s="140" t="s">
        <v>343</v>
      </c>
      <c r="C655" s="116"/>
      <c r="D655" s="141">
        <f>'Drivers, Inputs and Outputs'!O88</f>
        <v>6.9680317614409834E-2</v>
      </c>
      <c r="E655" s="133"/>
      <c r="F655" s="47"/>
      <c r="H655" s="133"/>
      <c r="I655" s="133"/>
      <c r="J655" s="142" t="s">
        <v>344</v>
      </c>
      <c r="K655" s="142" t="s">
        <v>344</v>
      </c>
      <c r="L655" s="143" t="s">
        <v>344</v>
      </c>
      <c r="M655" s="143" t="s">
        <v>344</v>
      </c>
      <c r="N655" s="143" t="s">
        <v>344</v>
      </c>
      <c r="O655" s="143" t="s">
        <v>344</v>
      </c>
      <c r="P655" s="144" t="s">
        <v>344</v>
      </c>
    </row>
    <row r="656" spans="1:16" ht="15.05" customHeight="1">
      <c r="F656" s="47"/>
      <c r="H656" s="145" t="s">
        <v>345</v>
      </c>
      <c r="I656" s="133"/>
      <c r="J656" s="146">
        <f>'Drivers, Inputs and Outputs'!G37</f>
        <v>46174</v>
      </c>
      <c r="K656" s="146">
        <f>'Drivers, Inputs and Outputs'!G39</f>
        <v>46418</v>
      </c>
      <c r="L656" s="147">
        <f t="shared" ref="L656:P657" si="308">EDATE(K656,12)</f>
        <v>46783</v>
      </c>
      <c r="M656" s="147">
        <f t="shared" si="308"/>
        <v>47149</v>
      </c>
      <c r="N656" s="147">
        <f t="shared" si="308"/>
        <v>47514</v>
      </c>
      <c r="O656" s="147">
        <f t="shared" si="308"/>
        <v>47879</v>
      </c>
      <c r="P656" s="148">
        <f t="shared" si="308"/>
        <v>48244</v>
      </c>
    </row>
    <row r="657" spans="2:16" ht="15.05" customHeight="1" thickBot="1">
      <c r="F657" s="47"/>
      <c r="H657" s="145" t="s">
        <v>346</v>
      </c>
      <c r="I657" s="133"/>
      <c r="J657" s="146">
        <f>J656</f>
        <v>46174</v>
      </c>
      <c r="K657" s="146">
        <f>'Drivers, Inputs and Outputs'!G38</f>
        <v>46234</v>
      </c>
      <c r="L657" s="147">
        <f t="shared" si="308"/>
        <v>46599</v>
      </c>
      <c r="M657" s="147">
        <f t="shared" si="308"/>
        <v>46965</v>
      </c>
      <c r="N657" s="147">
        <f t="shared" si="308"/>
        <v>47330</v>
      </c>
      <c r="O657" s="147">
        <f t="shared" si="308"/>
        <v>47695</v>
      </c>
      <c r="P657" s="149">
        <f t="shared" si="308"/>
        <v>48060</v>
      </c>
    </row>
    <row r="658" spans="2:16" ht="15.05" customHeight="1">
      <c r="B658" s="133"/>
      <c r="C658" s="150"/>
      <c r="D658" s="95"/>
      <c r="E658" s="132"/>
      <c r="F658" s="132"/>
      <c r="H658" s="135"/>
      <c r="I658" s="135"/>
      <c r="J658" s="151"/>
      <c r="K658" s="151"/>
      <c r="L658" s="151"/>
      <c r="M658" s="151"/>
      <c r="N658" s="151"/>
      <c r="O658" s="151"/>
      <c r="P658" s="151"/>
    </row>
    <row r="659" spans="2:16" ht="15.05" customHeight="1">
      <c r="B659" s="259" t="s">
        <v>335</v>
      </c>
      <c r="D659" s="291"/>
      <c r="E659" s="292"/>
      <c r="F659" s="292"/>
      <c r="H659" s="102"/>
      <c r="I659" s="102"/>
      <c r="J659" s="293"/>
      <c r="K659" s="294">
        <f>K613</f>
        <v>14010.617757014159</v>
      </c>
      <c r="L659" s="294">
        <f t="shared" ref="L659:P659" ca="1" si="309">L613</f>
        <v>16692.809949586132</v>
      </c>
      <c r="M659" s="294">
        <f t="shared" ca="1" si="309"/>
        <v>19183.57254600343</v>
      </c>
      <c r="N659" s="294">
        <f t="shared" ca="1" si="309"/>
        <v>20590.942040820843</v>
      </c>
      <c r="O659" s="294">
        <f t="shared" ca="1" si="309"/>
        <v>24029.581821531447</v>
      </c>
      <c r="P659" s="295">
        <f t="shared" si="309"/>
        <v>38963.164286902698</v>
      </c>
    </row>
    <row r="660" spans="2:16" ht="15.05" customHeight="1">
      <c r="B660" s="259" t="s">
        <v>333</v>
      </c>
      <c r="D660" s="291"/>
      <c r="E660" s="292"/>
      <c r="F660" s="292"/>
      <c r="H660" s="102"/>
      <c r="I660" s="102"/>
      <c r="J660" s="296"/>
      <c r="K660" s="98"/>
      <c r="L660" s="98"/>
      <c r="M660" s="98"/>
      <c r="N660" s="98"/>
      <c r="O660" s="297"/>
      <c r="P660" s="298">
        <f>P493</f>
        <v>49547.213332296466</v>
      </c>
    </row>
    <row r="661" spans="2:16" ht="15.05" customHeight="1">
      <c r="B661" s="133"/>
      <c r="C661" s="133"/>
      <c r="D661" s="133"/>
      <c r="E661" s="133"/>
      <c r="F661" s="133"/>
      <c r="H661" s="133"/>
      <c r="I661" s="133"/>
      <c r="J661" s="133"/>
      <c r="K661" s="133"/>
      <c r="L661" s="133"/>
      <c r="M661" s="133"/>
      <c r="N661" s="133"/>
      <c r="O661" s="133"/>
      <c r="P661" s="133"/>
    </row>
    <row r="662" spans="2:16" ht="15.05" customHeight="1">
      <c r="B662" s="46" t="s">
        <v>620</v>
      </c>
      <c r="D662" s="133"/>
      <c r="E662" s="133"/>
      <c r="F662" s="47"/>
      <c r="H662" s="154"/>
      <c r="I662" s="154"/>
      <c r="J662" s="154"/>
      <c r="K662" s="154"/>
      <c r="L662" s="154"/>
      <c r="M662" s="154"/>
      <c r="N662" s="154"/>
      <c r="O662" s="154"/>
      <c r="P662" s="154"/>
    </row>
    <row r="663" spans="2:16" ht="15.05" customHeight="1">
      <c r="B663" s="101" t="s">
        <v>342</v>
      </c>
      <c r="D663" s="133"/>
      <c r="E663" s="156"/>
      <c r="F663" s="299" t="s">
        <v>605</v>
      </c>
      <c r="I663" s="102"/>
      <c r="J663" s="157">
        <v>0</v>
      </c>
      <c r="K663" s="72">
        <f t="shared" ref="K663:P663" si="310">K659</f>
        <v>14010.617757014159</v>
      </c>
      <c r="L663" s="72">
        <f t="shared" ca="1" si="310"/>
        <v>16692.809949586132</v>
      </c>
      <c r="M663" s="72">
        <f t="shared" ca="1" si="310"/>
        <v>19183.57254600343</v>
      </c>
      <c r="N663" s="72">
        <f t="shared" ca="1" si="310"/>
        <v>20590.942040820843</v>
      </c>
      <c r="O663" s="72">
        <f t="shared" ca="1" si="310"/>
        <v>24029.581821531447</v>
      </c>
      <c r="P663" s="72">
        <f t="shared" si="310"/>
        <v>38963.164286902698</v>
      </c>
    </row>
    <row r="664" spans="2:16" ht="15.05" customHeight="1">
      <c r="B664" s="101" t="s">
        <v>606</v>
      </c>
      <c r="D664" s="133"/>
      <c r="E664" s="47"/>
      <c r="F664" s="300" t="s">
        <v>607</v>
      </c>
      <c r="I664" s="102"/>
      <c r="J664" s="159">
        <v>0</v>
      </c>
      <c r="K664" s="159">
        <v>0</v>
      </c>
      <c r="L664" s="159">
        <v>0</v>
      </c>
      <c r="M664" s="159">
        <v>0</v>
      </c>
      <c r="N664" s="159">
        <v>0</v>
      </c>
      <c r="O664" s="159">
        <v>0</v>
      </c>
      <c r="P664" s="76">
        <f>(P660*D654)/(1+D655)^F665</f>
        <v>902074.80115085305</v>
      </c>
    </row>
    <row r="665" spans="2:16" ht="15.05" customHeight="1">
      <c r="B665" s="101" t="s">
        <v>348</v>
      </c>
      <c r="D665" s="133"/>
      <c r="E665" s="160"/>
      <c r="F665" s="301">
        <f>YEARFRAC(P657,P656)</f>
        <v>0.5</v>
      </c>
      <c r="I665" s="102"/>
      <c r="J665" s="72">
        <f t="shared" ref="J665:P665" si="311">SUM(J663:J664)</f>
        <v>0</v>
      </c>
      <c r="K665" s="72">
        <f t="shared" si="311"/>
        <v>14010.617757014159</v>
      </c>
      <c r="L665" s="72">
        <f t="shared" ca="1" si="311"/>
        <v>16692.809949586132</v>
      </c>
      <c r="M665" s="72">
        <f t="shared" ca="1" si="311"/>
        <v>19183.57254600343</v>
      </c>
      <c r="N665" s="72">
        <f t="shared" ca="1" si="311"/>
        <v>20590.942040820843</v>
      </c>
      <c r="O665" s="72">
        <f t="shared" ca="1" si="311"/>
        <v>24029.581821531447</v>
      </c>
      <c r="P665" s="72">
        <f t="shared" si="311"/>
        <v>941037.96543775569</v>
      </c>
    </row>
    <row r="666" spans="2:16" ht="15.05" customHeight="1">
      <c r="B666" s="46"/>
      <c r="D666" s="133"/>
      <c r="E666" s="47"/>
      <c r="F666" s="47"/>
      <c r="H666" s="161"/>
      <c r="I666" s="161"/>
      <c r="J666" s="161"/>
      <c r="K666" s="161"/>
      <c r="L666" s="161"/>
      <c r="M666" s="161"/>
      <c r="N666" s="161"/>
      <c r="O666" s="154"/>
      <c r="P666" s="154"/>
    </row>
    <row r="667" spans="2:16" ht="15.05" customHeight="1">
      <c r="B667" s="46" t="s">
        <v>621</v>
      </c>
      <c r="D667" s="133"/>
      <c r="E667" s="47"/>
      <c r="F667" s="47"/>
      <c r="H667" s="161"/>
      <c r="I667" s="161"/>
      <c r="J667" s="157"/>
      <c r="K667" s="302"/>
      <c r="L667" s="302"/>
      <c r="M667" s="302"/>
      <c r="N667" s="302"/>
      <c r="O667" s="302"/>
      <c r="P667" s="302"/>
    </row>
    <row r="668" spans="2:16" ht="15.05" customHeight="1">
      <c r="B668" s="101" t="s">
        <v>349</v>
      </c>
      <c r="D668" s="133"/>
      <c r="E668" s="47"/>
      <c r="F668" s="47"/>
      <c r="H668" s="161"/>
      <c r="I668" s="161"/>
      <c r="J668" s="157">
        <v>0</v>
      </c>
      <c r="K668" s="302">
        <f t="shared" ref="K668:P668" si="312">YEARFRAC(K656,J656)</f>
        <v>0.66666666666666663</v>
      </c>
      <c r="L668" s="302">
        <f t="shared" si="312"/>
        <v>1</v>
      </c>
      <c r="M668" s="302">
        <f t="shared" si="312"/>
        <v>1</v>
      </c>
      <c r="N668" s="302">
        <f t="shared" si="312"/>
        <v>1</v>
      </c>
      <c r="O668" s="302">
        <f t="shared" si="312"/>
        <v>1</v>
      </c>
      <c r="P668" s="302">
        <f t="shared" si="312"/>
        <v>1</v>
      </c>
    </row>
    <row r="669" spans="2:16" ht="15.05" customHeight="1">
      <c r="B669" s="101"/>
      <c r="D669" s="133"/>
      <c r="E669" s="47"/>
      <c r="F669" s="47"/>
      <c r="H669" s="161"/>
      <c r="I669" s="161"/>
      <c r="J669" s="157"/>
      <c r="K669" s="302"/>
      <c r="L669" s="302"/>
      <c r="M669" s="302"/>
      <c r="N669" s="302"/>
      <c r="O669" s="302"/>
      <c r="P669" s="302"/>
    </row>
    <row r="670" spans="2:16" ht="15.05" customHeight="1">
      <c r="B670" s="155" t="s">
        <v>342</v>
      </c>
      <c r="D670" s="133"/>
      <c r="E670" s="47"/>
      <c r="F670" s="47"/>
      <c r="H670" s="161"/>
      <c r="I670" s="161"/>
      <c r="J670" s="157">
        <v>0</v>
      </c>
      <c r="K670" s="72">
        <f>K663*K$668</f>
        <v>9340.4118380094387</v>
      </c>
      <c r="L670" s="72">
        <f t="shared" ref="L670:P670" ca="1" si="313">L663*L$668</f>
        <v>16692.809949586132</v>
      </c>
      <c r="M670" s="72">
        <f t="shared" ca="1" si="313"/>
        <v>19183.57254600343</v>
      </c>
      <c r="N670" s="72">
        <f t="shared" ca="1" si="313"/>
        <v>20590.942040820843</v>
      </c>
      <c r="O670" s="72">
        <f t="shared" ca="1" si="313"/>
        <v>24029.581821531447</v>
      </c>
      <c r="P670" s="72">
        <f t="shared" si="313"/>
        <v>38963.164286902698</v>
      </c>
    </row>
    <row r="671" spans="2:16" ht="15.05" customHeight="1">
      <c r="B671" s="155" t="s">
        <v>347</v>
      </c>
      <c r="D671" s="133"/>
      <c r="E671" s="47"/>
      <c r="F671" s="47"/>
      <c r="H671" s="161"/>
      <c r="I671" s="161"/>
      <c r="J671" s="159">
        <v>0</v>
      </c>
      <c r="K671" s="76">
        <f t="shared" ref="K671:P671" si="314">K664*K$668</f>
        <v>0</v>
      </c>
      <c r="L671" s="76">
        <f t="shared" si="314"/>
        <v>0</v>
      </c>
      <c r="M671" s="76">
        <f t="shared" si="314"/>
        <v>0</v>
      </c>
      <c r="N671" s="76">
        <f t="shared" si="314"/>
        <v>0</v>
      </c>
      <c r="O671" s="76">
        <f t="shared" si="314"/>
        <v>0</v>
      </c>
      <c r="P671" s="76">
        <f t="shared" si="314"/>
        <v>902074.80115085305</v>
      </c>
    </row>
    <row r="672" spans="2:16" ht="15.05" customHeight="1">
      <c r="B672" s="155" t="s">
        <v>348</v>
      </c>
      <c r="D672" s="133"/>
      <c r="E672" s="47"/>
      <c r="F672" s="47"/>
      <c r="H672" s="161"/>
      <c r="I672" s="161"/>
      <c r="J672" s="72">
        <f t="shared" ref="J672:P672" si="315">SUM(J670:J671)</f>
        <v>0</v>
      </c>
      <c r="K672" s="72">
        <f t="shared" si="315"/>
        <v>9340.4118380094387</v>
      </c>
      <c r="L672" s="72">
        <f t="shared" ca="1" si="315"/>
        <v>16692.809949586132</v>
      </c>
      <c r="M672" s="72">
        <f t="shared" ca="1" si="315"/>
        <v>19183.57254600343</v>
      </c>
      <c r="N672" s="72">
        <f t="shared" ca="1" si="315"/>
        <v>20590.942040820843</v>
      </c>
      <c r="O672" s="72">
        <f t="shared" ca="1" si="315"/>
        <v>24029.581821531447</v>
      </c>
      <c r="P672" s="72">
        <f t="shared" si="315"/>
        <v>941037.96543775569</v>
      </c>
    </row>
    <row r="673" spans="2:16" ht="15.05" customHeight="1">
      <c r="B673" s="101"/>
      <c r="D673" s="133"/>
      <c r="E673" s="47"/>
      <c r="F673" s="47"/>
      <c r="H673" s="161"/>
      <c r="I673" s="161"/>
      <c r="J673" s="157"/>
      <c r="K673" s="302"/>
      <c r="L673" s="302"/>
      <c r="M673" s="302"/>
      <c r="N673" s="302"/>
      <c r="O673" s="302"/>
      <c r="P673" s="302"/>
    </row>
    <row r="674" spans="2:16" ht="15.05" customHeight="1">
      <c r="B674" s="46" t="s">
        <v>622</v>
      </c>
      <c r="D674" s="133"/>
      <c r="E674" s="47"/>
      <c r="F674" s="47"/>
      <c r="H674" s="161"/>
      <c r="I674" s="161"/>
      <c r="J674" s="157"/>
      <c r="K674" s="302"/>
      <c r="L674" s="302"/>
      <c r="M674" s="302"/>
      <c r="N674" s="302"/>
      <c r="O674" s="302"/>
      <c r="P674" s="302"/>
    </row>
    <row r="675" spans="2:16" ht="15.05" customHeight="1">
      <c r="B675" s="101" t="s">
        <v>350</v>
      </c>
      <c r="D675" s="133"/>
      <c r="E675" s="47"/>
      <c r="F675" s="47"/>
      <c r="H675" s="161"/>
      <c r="I675" s="161"/>
      <c r="J675" s="163">
        <v>0</v>
      </c>
      <c r="K675" s="164">
        <f t="shared" ref="K675:P675" si="316">J675+YEARFRAC(J657,K657)</f>
        <v>0.16666666666666666</v>
      </c>
      <c r="L675" s="164">
        <f t="shared" si="316"/>
        <v>1.1666666666666667</v>
      </c>
      <c r="M675" s="164">
        <f t="shared" si="316"/>
        <v>2.166666666666667</v>
      </c>
      <c r="N675" s="164">
        <f t="shared" si="316"/>
        <v>3.166666666666667</v>
      </c>
      <c r="O675" s="164">
        <f t="shared" si="316"/>
        <v>4.166666666666667</v>
      </c>
      <c r="P675" s="164">
        <f t="shared" si="316"/>
        <v>5.166666666666667</v>
      </c>
    </row>
    <row r="676" spans="2:16" ht="15.05" customHeight="1">
      <c r="B676" s="101"/>
      <c r="D676" s="133"/>
      <c r="E676" s="47"/>
      <c r="F676" s="47"/>
      <c r="H676" s="161"/>
      <c r="I676" s="161"/>
      <c r="J676" s="163"/>
      <c r="K676" s="164"/>
      <c r="L676" s="164"/>
      <c r="M676" s="164"/>
      <c r="N676" s="164"/>
      <c r="O676" s="164"/>
      <c r="P676" s="164"/>
    </row>
    <row r="677" spans="2:16" ht="15.05" customHeight="1">
      <c r="B677" s="155" t="s">
        <v>342</v>
      </c>
      <c r="D677" s="133"/>
      <c r="E677" s="47"/>
      <c r="F677" s="47"/>
      <c r="H677" s="161"/>
      <c r="I677" s="161"/>
      <c r="J677" s="165">
        <v>0</v>
      </c>
      <c r="K677" s="84">
        <f>K670/(1+$D$655)^K$675</f>
        <v>9236.1368284146392</v>
      </c>
      <c r="L677" s="84">
        <f t="shared" ref="L677:P677" ca="1" si="317">L670/(1+$D$655)^L$675</f>
        <v>15431.202721863205</v>
      </c>
      <c r="M677" s="84">
        <f t="shared" ca="1" si="317"/>
        <v>16578.522072059735</v>
      </c>
      <c r="N677" s="84">
        <f t="shared" ca="1" si="317"/>
        <v>16635.602495918723</v>
      </c>
      <c r="O677" s="84">
        <f t="shared" ca="1" si="317"/>
        <v>18149.076303436927</v>
      </c>
      <c r="P677" s="84">
        <f t="shared" si="317"/>
        <v>27511.136295131069</v>
      </c>
    </row>
    <row r="678" spans="2:16" ht="15.05" customHeight="1">
      <c r="B678" s="155" t="s">
        <v>347</v>
      </c>
      <c r="D678" s="133"/>
      <c r="E678" s="47"/>
      <c r="F678" s="47"/>
      <c r="H678" s="161"/>
      <c r="I678" s="161"/>
      <c r="J678" s="297">
        <v>0</v>
      </c>
      <c r="K678" s="98">
        <f t="shared" ref="K678:P678" si="318">K671/(1+$D$655)^K$675</f>
        <v>0</v>
      </c>
      <c r="L678" s="98">
        <f t="shared" si="318"/>
        <v>0</v>
      </c>
      <c r="M678" s="98">
        <f t="shared" si="318"/>
        <v>0</v>
      </c>
      <c r="N678" s="98">
        <f t="shared" si="318"/>
        <v>0</v>
      </c>
      <c r="O678" s="98">
        <f t="shared" si="318"/>
        <v>0</v>
      </c>
      <c r="P678" s="98">
        <f t="shared" si="318"/>
        <v>636937.56031017576</v>
      </c>
    </row>
    <row r="679" spans="2:16" ht="15.05" customHeight="1">
      <c r="B679" s="155" t="s">
        <v>348</v>
      </c>
      <c r="D679" s="133"/>
      <c r="E679" s="47"/>
      <c r="F679" s="47"/>
      <c r="H679" s="161"/>
      <c r="I679" s="161"/>
      <c r="J679" s="72">
        <f t="shared" ref="J679:P679" si="319">SUM(J677:J678)</f>
        <v>0</v>
      </c>
      <c r="K679" s="72">
        <f t="shared" si="319"/>
        <v>9236.1368284146392</v>
      </c>
      <c r="L679" s="72">
        <f t="shared" ca="1" si="319"/>
        <v>15431.202721863205</v>
      </c>
      <c r="M679" s="72">
        <f t="shared" ca="1" si="319"/>
        <v>16578.522072059735</v>
      </c>
      <c r="N679" s="72">
        <f t="shared" ca="1" si="319"/>
        <v>16635.602495918723</v>
      </c>
      <c r="O679" s="72">
        <f t="shared" ca="1" si="319"/>
        <v>18149.076303436927</v>
      </c>
      <c r="P679" s="72">
        <f t="shared" si="319"/>
        <v>664448.69660530682</v>
      </c>
    </row>
    <row r="680" spans="2:16" ht="15.05" customHeight="1">
      <c r="B680" s="133"/>
      <c r="C680" s="155"/>
      <c r="D680" s="133"/>
      <c r="E680" s="47"/>
      <c r="F680" s="47"/>
      <c r="H680" s="161"/>
      <c r="I680" s="161"/>
      <c r="J680" s="157"/>
      <c r="K680" s="302"/>
      <c r="L680" s="302"/>
      <c r="M680" s="302"/>
      <c r="N680" s="302"/>
      <c r="O680" s="302"/>
      <c r="P680" s="302"/>
    </row>
    <row r="681" spans="2:16" ht="15.05" customHeight="1">
      <c r="B681" s="133"/>
      <c r="C681" s="101"/>
      <c r="D681" s="133"/>
      <c r="E681" s="160"/>
      <c r="F681" s="160"/>
      <c r="H681" s="102"/>
      <c r="I681" s="102"/>
      <c r="J681" s="72"/>
      <c r="K681" s="72"/>
      <c r="L681" s="72"/>
      <c r="M681" s="72"/>
      <c r="N681" s="72"/>
      <c r="O681" s="72"/>
      <c r="P681" s="72"/>
    </row>
    <row r="682" spans="2:16" ht="15.05" customHeight="1">
      <c r="B682" s="133"/>
      <c r="C682" s="46"/>
      <c r="D682" s="133"/>
      <c r="E682" s="47"/>
      <c r="F682" s="47"/>
      <c r="G682" s="352"/>
      <c r="H682" s="46" t="s">
        <v>351</v>
      </c>
      <c r="I682" s="303"/>
      <c r="J682" s="158"/>
      <c r="K682" s="102"/>
      <c r="M682" s="167" t="s">
        <v>351</v>
      </c>
      <c r="N682" s="168"/>
      <c r="O682" s="166"/>
      <c r="P682" s="166"/>
    </row>
    <row r="683" spans="2:16" ht="15.05" customHeight="1">
      <c r="B683" s="133"/>
      <c r="C683" s="101"/>
      <c r="D683" s="133"/>
      <c r="E683" s="47"/>
      <c r="F683" s="47"/>
      <c r="H683" s="304" t="s">
        <v>352</v>
      </c>
      <c r="I683" s="305"/>
      <c r="J683" s="306">
        <f ca="1">SUM(K679:P679)</f>
        <v>740479.23702700005</v>
      </c>
      <c r="K683" s="84"/>
      <c r="M683" s="169" t="s">
        <v>353</v>
      </c>
      <c r="N683" s="170"/>
      <c r="O683" s="307">
        <f ca="1">P683/$P$685</f>
        <v>0.13983062797620194</v>
      </c>
      <c r="P683" s="306">
        <f ca="1">SUM(K677:P677)</f>
        <v>103541.67671682431</v>
      </c>
    </row>
    <row r="684" spans="2:16" ht="15.05" customHeight="1">
      <c r="B684" s="154"/>
      <c r="C684" s="101"/>
      <c r="D684" s="154"/>
      <c r="E684" s="160"/>
      <c r="F684" s="160"/>
      <c r="H684" s="308" t="s">
        <v>608</v>
      </c>
      <c r="I684" s="260"/>
      <c r="J684" s="309">
        <f ca="1">XNPV(D655,J672:P672,J657:P657)</f>
        <v>740461.01435510349</v>
      </c>
      <c r="K684" s="84"/>
      <c r="M684" s="174" t="s">
        <v>355</v>
      </c>
      <c r="N684" s="166"/>
      <c r="O684" s="310">
        <f ca="1">P684/$P$685</f>
        <v>0.86016937202379806</v>
      </c>
      <c r="P684" s="309">
        <f>SUM(K678:P678)</f>
        <v>636937.56031017576</v>
      </c>
    </row>
    <row r="685" spans="2:16" ht="15.05" customHeight="1">
      <c r="B685" s="154"/>
      <c r="C685" s="154"/>
      <c r="D685" s="154"/>
      <c r="E685" s="154"/>
      <c r="F685" s="154"/>
      <c r="H685" s="154"/>
      <c r="I685" s="154"/>
      <c r="J685" s="154"/>
      <c r="K685" s="154"/>
      <c r="M685" s="172" t="s">
        <v>356</v>
      </c>
      <c r="N685" s="173"/>
      <c r="O685" s="310">
        <f ca="1">SUM(O683:O684)</f>
        <v>1</v>
      </c>
      <c r="P685" s="309">
        <f ca="1">SUM(P683:P684)</f>
        <v>740479.23702700005</v>
      </c>
    </row>
    <row r="686" spans="2:16" ht="15.05" customHeight="1">
      <c r="B686" s="154"/>
      <c r="C686" s="154"/>
      <c r="D686" s="154"/>
      <c r="E686" s="154"/>
      <c r="F686" s="154"/>
      <c r="H686" s="154"/>
      <c r="I686" s="154"/>
      <c r="J686" s="154"/>
      <c r="K686" s="154"/>
      <c r="M686" s="154"/>
      <c r="N686" s="154"/>
      <c r="O686" s="154"/>
      <c r="P686" s="154"/>
    </row>
    <row r="687" spans="2:16" ht="15.05" customHeight="1">
      <c r="B687" s="154"/>
      <c r="C687" s="154"/>
      <c r="D687" s="154"/>
      <c r="E687" s="154"/>
      <c r="F687" s="154"/>
      <c r="H687" s="154"/>
      <c r="I687" s="154"/>
      <c r="J687" s="154"/>
      <c r="K687" s="154"/>
      <c r="M687" s="154"/>
      <c r="N687" s="154"/>
      <c r="O687" s="154"/>
      <c r="P687" s="154"/>
    </row>
    <row r="688" spans="2:16" ht="15.05" customHeight="1">
      <c r="B688" s="154"/>
      <c r="C688" s="154"/>
      <c r="D688" s="154"/>
      <c r="E688" s="154"/>
      <c r="F688" s="154"/>
      <c r="H688" s="46" t="s">
        <v>357</v>
      </c>
      <c r="I688" s="102"/>
      <c r="J688" s="154"/>
      <c r="K688" s="154"/>
      <c r="M688" s="46" t="s">
        <v>358</v>
      </c>
      <c r="N688" s="102"/>
      <c r="O688" s="154"/>
      <c r="P688" s="154"/>
    </row>
    <row r="689" spans="1:16" ht="15.05" customHeight="1">
      <c r="B689" s="154"/>
      <c r="C689" s="154"/>
      <c r="D689" s="154"/>
      <c r="E689" s="154"/>
      <c r="F689" s="154"/>
      <c r="H689" s="304" t="s">
        <v>356</v>
      </c>
      <c r="I689" s="311"/>
      <c r="J689" s="306">
        <f ca="1">J684</f>
        <v>740461.01435510349</v>
      </c>
      <c r="K689" s="154"/>
      <c r="M689" s="304" t="s">
        <v>359</v>
      </c>
      <c r="N689" s="311"/>
      <c r="O689" s="311"/>
      <c r="P689" s="306">
        <f ca="1">J691</f>
        <v>699665.01435510349</v>
      </c>
    </row>
    <row r="690" spans="1:16" ht="15.05" customHeight="1">
      <c r="B690" s="154"/>
      <c r="C690" s="154"/>
      <c r="D690" s="154"/>
      <c r="E690" s="154"/>
      <c r="F690" s="154"/>
      <c r="H690" s="174" t="s">
        <v>360</v>
      </c>
      <c r="I690" s="154"/>
      <c r="J690" s="312">
        <f>'Drivers, Inputs and Outputs'!G91*-1</f>
        <v>-40796</v>
      </c>
      <c r="K690" s="154"/>
      <c r="M690" s="313" t="s">
        <v>361</v>
      </c>
      <c r="N690" s="154"/>
      <c r="O690" s="314" t="s">
        <v>362</v>
      </c>
      <c r="P690" s="312">
        <f>'Drivers, Inputs and Outputs'!G92</f>
        <v>7971</v>
      </c>
    </row>
    <row r="691" spans="1:16" ht="15.05" customHeight="1">
      <c r="B691" s="154"/>
      <c r="C691" s="154"/>
      <c r="D691" s="154"/>
      <c r="E691" s="154"/>
      <c r="F691" s="154"/>
      <c r="H691" s="308" t="s">
        <v>359</v>
      </c>
      <c r="I691" s="260"/>
      <c r="J691" s="309">
        <f ca="1">SUM(J689:J690)</f>
        <v>699665.01435510349</v>
      </c>
      <c r="K691" s="154"/>
      <c r="M691" s="308" t="s">
        <v>359</v>
      </c>
      <c r="N691" s="260"/>
      <c r="O691" s="315" t="s">
        <v>363</v>
      </c>
      <c r="P691" s="316">
        <f ca="1">P689/P690</f>
        <v>87.776315939669232</v>
      </c>
    </row>
    <row r="692" spans="1:16" ht="15.05" customHeight="1">
      <c r="B692" s="154"/>
      <c r="C692" s="154"/>
      <c r="D692" s="102"/>
      <c r="E692" s="154"/>
      <c r="F692" s="154"/>
      <c r="H692" s="154"/>
      <c r="I692" s="154"/>
      <c r="J692" s="154"/>
      <c r="K692" s="154"/>
      <c r="M692" s="154"/>
      <c r="N692" s="154"/>
      <c r="O692" s="154"/>
      <c r="P692" s="154"/>
    </row>
    <row r="693" spans="1:16" ht="15.05" customHeight="1">
      <c r="B693" s="154"/>
      <c r="C693" s="133"/>
      <c r="D693" s="95"/>
      <c r="E693" s="47"/>
      <c r="F693" s="47"/>
      <c r="H693" s="47"/>
      <c r="I693" s="47"/>
      <c r="J693" s="47"/>
      <c r="K693" s="62"/>
      <c r="L693" s="62"/>
      <c r="M693" s="62"/>
      <c r="N693" s="62"/>
      <c r="P693" s="317" t="s">
        <v>609</v>
      </c>
    </row>
    <row r="694" spans="1:16" ht="15.05" customHeight="1">
      <c r="B694" s="154"/>
      <c r="C694" s="133"/>
      <c r="D694" s="95"/>
      <c r="E694" s="47"/>
      <c r="F694" s="47"/>
      <c r="H694" s="47"/>
      <c r="I694" s="47"/>
      <c r="J694" s="47"/>
      <c r="K694" s="62"/>
      <c r="L694" s="62"/>
      <c r="M694" s="62"/>
      <c r="N694" s="62"/>
      <c r="P694" s="318" t="s">
        <v>610</v>
      </c>
    </row>
    <row r="695" spans="1:16" ht="15.05" customHeight="1"/>
    <row r="697" spans="1:16">
      <c r="A697" t="s">
        <v>95</v>
      </c>
      <c r="B697" s="356" t="s">
        <v>633</v>
      </c>
      <c r="C697" s="357"/>
      <c r="D697" s="357"/>
      <c r="E697" s="357"/>
      <c r="F697" s="357"/>
      <c r="G697" s="357"/>
      <c r="H697" s="357"/>
      <c r="I697" s="357"/>
      <c r="J697" s="357"/>
      <c r="K697" s="357"/>
      <c r="L697" s="357"/>
      <c r="M697" s="357"/>
      <c r="N697" s="357"/>
      <c r="O697" s="357"/>
      <c r="P697" s="356"/>
    </row>
    <row r="698" spans="1:16">
      <c r="B698" s="4" t="s">
        <v>1</v>
      </c>
    </row>
    <row r="699" spans="1:16">
      <c r="B699" s="4"/>
    </row>
    <row r="700" spans="1:16">
      <c r="B700" s="358" t="s">
        <v>634</v>
      </c>
      <c r="C700" s="130"/>
      <c r="D700" s="130"/>
      <c r="E700" s="342">
        <f>'Drivers, Inputs and Outputs'!G96</f>
        <v>6.9680317614409834E-2</v>
      </c>
    </row>
    <row r="701" spans="1:16">
      <c r="B701" s="359" t="s">
        <v>409</v>
      </c>
      <c r="E701" s="344">
        <f>'Drivers, Inputs and Outputs'!G94</f>
        <v>0.03</v>
      </c>
    </row>
    <row r="702" spans="1:16">
      <c r="B702" s="359" t="s">
        <v>400</v>
      </c>
      <c r="E702" s="327">
        <f>'Drivers, Inputs and Outputs'!G91</f>
        <v>40796</v>
      </c>
    </row>
    <row r="703" spans="1:16">
      <c r="B703" s="359" t="s">
        <v>635</v>
      </c>
      <c r="E703" s="327">
        <f>'Drivers, Inputs and Outputs'!G92</f>
        <v>7971</v>
      </c>
    </row>
    <row r="704" spans="1:16">
      <c r="B704" s="360" t="s">
        <v>407</v>
      </c>
      <c r="C704" s="194"/>
      <c r="D704" s="194"/>
      <c r="E704" s="330">
        <f>'Drivers, Inputs and Outputs'!G93</f>
        <v>114.58</v>
      </c>
    </row>
    <row r="705" spans="2:16">
      <c r="B705" s="5"/>
      <c r="L705" s="17"/>
    </row>
    <row r="706" spans="2:16">
      <c r="B706" s="5"/>
      <c r="L706" s="17"/>
    </row>
    <row r="707" spans="2:16">
      <c r="F707" s="340" t="s">
        <v>356</v>
      </c>
      <c r="L707" s="17"/>
      <c r="N707" s="340" t="s">
        <v>643</v>
      </c>
    </row>
    <row r="708" spans="2:16">
      <c r="D708" s="353"/>
      <c r="E708" s="353"/>
      <c r="F708" s="353" t="s">
        <v>409</v>
      </c>
      <c r="G708" s="353"/>
      <c r="H708" s="353"/>
      <c r="N708" s="353" t="s">
        <v>409</v>
      </c>
    </row>
    <row r="709" spans="2:16">
      <c r="C709" s="351">
        <f ca="1">J639</f>
        <v>817640.121709681</v>
      </c>
      <c r="D709" s="17">
        <v>2.5000000000000001E-2</v>
      </c>
      <c r="E709" s="17">
        <v>2.75E-2</v>
      </c>
      <c r="F709" s="26">
        <v>0.03</v>
      </c>
      <c r="G709" s="17">
        <v>3.2500000000000001E-2</v>
      </c>
      <c r="H709" s="17">
        <v>3.5000000000000003E-2</v>
      </c>
      <c r="K709" s="351"/>
      <c r="L709" s="17">
        <f>D709</f>
        <v>2.5000000000000001E-2</v>
      </c>
      <c r="M709" s="17">
        <f t="shared" ref="M709:P709" si="320">E709</f>
        <v>2.75E-2</v>
      </c>
      <c r="N709" s="17">
        <f t="shared" si="320"/>
        <v>0.03</v>
      </c>
      <c r="O709" s="17">
        <f t="shared" si="320"/>
        <v>3.2500000000000001E-2</v>
      </c>
      <c r="P709" s="17">
        <f t="shared" si="320"/>
        <v>3.5000000000000003E-2</v>
      </c>
    </row>
    <row r="710" spans="2:16">
      <c r="B710" s="361" t="s">
        <v>343</v>
      </c>
      <c r="C710" s="250">
        <v>6.5000000000000002E-2</v>
      </c>
      <c r="D710" s="324">
        <f t="dataTable" ref="D710:H714" dt2D="1" dtr="1" r1="D608" r2="D609" ca="1"/>
        <v>826091.07288395579</v>
      </c>
      <c r="E710" s="271">
        <v>876040.87612574163</v>
      </c>
      <c r="F710" s="271">
        <v>933126.36554492544</v>
      </c>
      <c r="G710" s="271">
        <v>998994.23795167601</v>
      </c>
      <c r="H710" s="325">
        <v>1075840.0890928849</v>
      </c>
      <c r="J710" s="361" t="s">
        <v>343</v>
      </c>
      <c r="K710" s="250">
        <f>C710</f>
        <v>6.5000000000000002E-2</v>
      </c>
      <c r="L710" s="331">
        <f>D720/$E$703</f>
        <v>98.519015541833625</v>
      </c>
      <c r="M710" s="274">
        <f t="shared" ref="M710:P710" si="321">E720/$E$703</f>
        <v>104.7854567966054</v>
      </c>
      <c r="N710" s="274">
        <f t="shared" si="321"/>
        <v>111.94710394491599</v>
      </c>
      <c r="O710" s="274">
        <f t="shared" si="321"/>
        <v>120.21054296219747</v>
      </c>
      <c r="P710" s="332">
        <f t="shared" si="321"/>
        <v>129.8512218156925</v>
      </c>
    </row>
    <row r="711" spans="2:16">
      <c r="B711" s="361"/>
      <c r="C711" s="250">
        <v>6.7500000000000004E-2</v>
      </c>
      <c r="D711" s="326">
        <v>774726.17159907415</v>
      </c>
      <c r="E711" s="78">
        <v>818371.00481239764</v>
      </c>
      <c r="F711" s="78">
        <v>867835.14912083116</v>
      </c>
      <c r="G711" s="78">
        <v>924365.59975904075</v>
      </c>
      <c r="H711" s="327">
        <v>989593.04280312883</v>
      </c>
      <c r="J711" s="361"/>
      <c r="K711" s="250">
        <f t="shared" ref="K711:K714" si="322">C711</f>
        <v>6.7500000000000004E-2</v>
      </c>
      <c r="L711" s="333">
        <f t="shared" ref="L711:P711" si="323">D721/$E$703</f>
        <v>92.075043482508363</v>
      </c>
      <c r="M711" s="267">
        <f t="shared" si="323"/>
        <v>97.550496150093792</v>
      </c>
      <c r="N711" s="267">
        <f t="shared" si="323"/>
        <v>103.75600917335731</v>
      </c>
      <c r="O711" s="267">
        <f t="shared" si="323"/>
        <v>110.84802405708703</v>
      </c>
      <c r="P711" s="334">
        <f t="shared" si="323"/>
        <v>119.03111815369826</v>
      </c>
    </row>
    <row r="712" spans="2:16">
      <c r="B712" s="361"/>
      <c r="C712" s="250">
        <v>6.9680317614409834E-2</v>
      </c>
      <c r="D712" s="326">
        <v>734649.73502339108</v>
      </c>
      <c r="E712" s="78">
        <v>773685.53523663629</v>
      </c>
      <c r="F712" s="349">
        <v>817640.121709681</v>
      </c>
      <c r="G712" s="78">
        <v>867505.71019848157</v>
      </c>
      <c r="H712" s="327">
        <v>924560.61988139967</v>
      </c>
      <c r="J712" s="361"/>
      <c r="K712" s="250">
        <f t="shared" si="322"/>
        <v>6.9680317614409834E-2</v>
      </c>
      <c r="L712" s="333">
        <f t="shared" ref="L712:P712" si="324">D722/$E$703</f>
        <v>87.04726320704944</v>
      </c>
      <c r="M712" s="267">
        <f t="shared" si="324"/>
        <v>91.944490683306526</v>
      </c>
      <c r="N712" s="350">
        <f t="shared" si="324"/>
        <v>97.458803375947937</v>
      </c>
      <c r="O712" s="267">
        <f t="shared" si="324"/>
        <v>103.71467948795403</v>
      </c>
      <c r="P712" s="334">
        <f t="shared" si="324"/>
        <v>110.87249026237608</v>
      </c>
    </row>
    <row r="713" spans="2:16">
      <c r="B713" s="361"/>
      <c r="C713" s="250">
        <v>7.2499999999999995E-2</v>
      </c>
      <c r="D713" s="326">
        <v>688312.36354977475</v>
      </c>
      <c r="E713" s="78">
        <v>722354.65649702365</v>
      </c>
      <c r="F713" s="78">
        <v>760401.92508512549</v>
      </c>
      <c r="G713" s="78">
        <v>803205.10224674002</v>
      </c>
      <c r="H713" s="327">
        <v>851715.36969656986</v>
      </c>
      <c r="J713" s="361"/>
      <c r="K713" s="250">
        <f t="shared" si="322"/>
        <v>7.2499999999999995E-2</v>
      </c>
      <c r="L713" s="333">
        <f t="shared" ref="L713:P713" si="325">D723/$E$703</f>
        <v>81.234018761733125</v>
      </c>
      <c r="M713" s="267">
        <f t="shared" si="325"/>
        <v>85.504786914693724</v>
      </c>
      <c r="N713" s="267">
        <f t="shared" si="325"/>
        <v>90.27799837976734</v>
      </c>
      <c r="O713" s="267">
        <f t="shared" si="325"/>
        <v>95.647861277975167</v>
      </c>
      <c r="P713" s="334">
        <f t="shared" si="325"/>
        <v>101.73370589594403</v>
      </c>
    </row>
    <row r="714" spans="2:16">
      <c r="B714" s="361"/>
      <c r="C714" s="250">
        <v>7.4999999999999997E-2</v>
      </c>
      <c r="D714" s="328">
        <v>651631.02222397702</v>
      </c>
      <c r="E714" s="329">
        <v>681973.2644861727</v>
      </c>
      <c r="F714" s="329">
        <v>715686.8669997236</v>
      </c>
      <c r="G714" s="329">
        <v>753366.77569133928</v>
      </c>
      <c r="H714" s="330">
        <v>795756.67296940694</v>
      </c>
      <c r="J714" s="361"/>
      <c r="K714" s="250">
        <f t="shared" si="322"/>
        <v>7.4999999999999997E-2</v>
      </c>
      <c r="L714" s="335">
        <f t="shared" ref="L714:P714" si="326">D724/$E$703</f>
        <v>76.632169392043281</v>
      </c>
      <c r="M714" s="336">
        <f t="shared" si="326"/>
        <v>80.438748524171714</v>
      </c>
      <c r="N714" s="336">
        <f t="shared" si="326"/>
        <v>84.668280893203317</v>
      </c>
      <c r="O714" s="336">
        <f t="shared" si="326"/>
        <v>89.395405305650399</v>
      </c>
      <c r="P714" s="337">
        <f t="shared" si="326"/>
        <v>94.713420269653355</v>
      </c>
    </row>
    <row r="715" spans="2:16">
      <c r="C715" s="17"/>
      <c r="D715" s="78"/>
      <c r="E715" s="78"/>
      <c r="F715" s="78"/>
      <c r="G715" s="78"/>
      <c r="H715" s="78"/>
      <c r="K715" s="17"/>
    </row>
    <row r="716" spans="2:16">
      <c r="C716" s="17"/>
      <c r="D716" s="78"/>
      <c r="E716" s="78"/>
      <c r="F716" s="78"/>
      <c r="G716" s="78"/>
      <c r="H716" s="78"/>
      <c r="K716" s="17"/>
    </row>
    <row r="717" spans="2:16">
      <c r="C717" s="320"/>
      <c r="F717" s="340" t="s">
        <v>359</v>
      </c>
    </row>
    <row r="718" spans="2:16">
      <c r="C718" s="320"/>
      <c r="F718" s="353" t="s">
        <v>409</v>
      </c>
      <c r="N718" s="353" t="s">
        <v>409</v>
      </c>
    </row>
    <row r="719" spans="2:16">
      <c r="C719" s="320"/>
      <c r="D719" s="17">
        <f>D709</f>
        <v>2.5000000000000001E-2</v>
      </c>
      <c r="E719" s="17">
        <f t="shared" ref="E719:H719" si="327">E709</f>
        <v>2.75E-2</v>
      </c>
      <c r="F719" s="17">
        <f t="shared" si="327"/>
        <v>0.03</v>
      </c>
      <c r="G719" s="17">
        <f t="shared" si="327"/>
        <v>3.2500000000000001E-2</v>
      </c>
      <c r="H719" s="17">
        <f t="shared" si="327"/>
        <v>3.5000000000000003E-2</v>
      </c>
      <c r="L719" s="17">
        <f>D719</f>
        <v>2.5000000000000001E-2</v>
      </c>
      <c r="M719" s="17">
        <f t="shared" ref="M719:P719" si="328">E719</f>
        <v>2.75E-2</v>
      </c>
      <c r="N719" s="17">
        <f t="shared" si="328"/>
        <v>0.03</v>
      </c>
      <c r="O719" s="17">
        <f t="shared" si="328"/>
        <v>3.2500000000000001E-2</v>
      </c>
      <c r="P719" s="17">
        <f t="shared" si="328"/>
        <v>3.5000000000000003E-2</v>
      </c>
    </row>
    <row r="720" spans="2:16">
      <c r="B720" s="361" t="str">
        <f>B710</f>
        <v>WACC</v>
      </c>
      <c r="C720" s="17">
        <f>C710</f>
        <v>6.5000000000000002E-2</v>
      </c>
      <c r="D720" s="324">
        <f>D710-$E$702</f>
        <v>785295.07288395579</v>
      </c>
      <c r="E720" s="271">
        <f t="shared" ref="E720:H720" si="329">E710-$E$702</f>
        <v>835244.87612574163</v>
      </c>
      <c r="F720" s="271">
        <f t="shared" si="329"/>
        <v>892330.36554492544</v>
      </c>
      <c r="G720" s="271">
        <f t="shared" si="329"/>
        <v>958198.23795167601</v>
      </c>
      <c r="H720" s="325">
        <f t="shared" si="329"/>
        <v>1035044.0890928849</v>
      </c>
      <c r="J720" s="361" t="s">
        <v>343</v>
      </c>
      <c r="K720" s="17">
        <f>C720</f>
        <v>6.5000000000000002E-2</v>
      </c>
      <c r="L720" s="341">
        <f>L710/$E$704-1</f>
        <v>-0.14017266938528861</v>
      </c>
      <c r="M720" s="288">
        <f t="shared" ref="M720:P720" si="330">M710/$E$704-1</f>
        <v>-8.5482136528142738E-2</v>
      </c>
      <c r="N720" s="288">
        <f t="shared" si="330"/>
        <v>-2.2978670405690349E-2</v>
      </c>
      <c r="O720" s="288">
        <f t="shared" si="330"/>
        <v>4.9140713581754758E-2</v>
      </c>
      <c r="P720" s="342">
        <f t="shared" si="330"/>
        <v>0.13327999490044062</v>
      </c>
    </row>
    <row r="721" spans="1:16">
      <c r="B721" s="361"/>
      <c r="C721" s="17">
        <f t="shared" ref="C721:C724" si="331">C711</f>
        <v>6.7500000000000004E-2</v>
      </c>
      <c r="D721" s="326">
        <f t="shared" ref="D721:H721" si="332">D711-$E$702</f>
        <v>733930.17159907415</v>
      </c>
      <c r="E721" s="78">
        <f t="shared" si="332"/>
        <v>777575.00481239764</v>
      </c>
      <c r="F721" s="78">
        <f t="shared" si="332"/>
        <v>827039.14912083116</v>
      </c>
      <c r="G721" s="78">
        <f t="shared" si="332"/>
        <v>883569.59975904075</v>
      </c>
      <c r="H721" s="327">
        <f t="shared" si="332"/>
        <v>948797.04280312883</v>
      </c>
      <c r="J721" s="361"/>
      <c r="K721" s="17">
        <f t="shared" ref="K721:K724" si="333">C721</f>
        <v>6.7500000000000004E-2</v>
      </c>
      <c r="L721" s="343">
        <f t="shared" ref="L721:P721" si="334">L711/$E$704-1</f>
        <v>-0.19641260706485975</v>
      </c>
      <c r="M721" s="23">
        <f t="shared" si="334"/>
        <v>-0.14862544815767331</v>
      </c>
      <c r="N721" s="23">
        <f t="shared" si="334"/>
        <v>-9.4466668062861636E-2</v>
      </c>
      <c r="O721" s="23">
        <f t="shared" si="334"/>
        <v>-3.2570919383076991E-2</v>
      </c>
      <c r="P721" s="344">
        <f t="shared" si="334"/>
        <v>3.8847252170520763E-2</v>
      </c>
    </row>
    <row r="722" spans="1:16">
      <c r="B722" s="361" t="str">
        <f>B710</f>
        <v>WACC</v>
      </c>
      <c r="C722" s="17">
        <f t="shared" si="331"/>
        <v>6.9680317614409834E-2</v>
      </c>
      <c r="D722" s="326">
        <f t="shared" ref="D722:H722" si="335">D712-$E$702</f>
        <v>693853.73502339108</v>
      </c>
      <c r="E722" s="78">
        <f t="shared" si="335"/>
        <v>732889.53523663629</v>
      </c>
      <c r="F722" s="349">
        <f t="shared" si="335"/>
        <v>776844.121709681</v>
      </c>
      <c r="G722" s="78">
        <f t="shared" si="335"/>
        <v>826709.71019848157</v>
      </c>
      <c r="H722" s="327">
        <f t="shared" si="335"/>
        <v>883764.61988139967</v>
      </c>
      <c r="J722" s="361"/>
      <c r="K722" s="17">
        <f t="shared" si="333"/>
        <v>6.9680317614409834E-2</v>
      </c>
      <c r="L722" s="343">
        <f t="shared" ref="L722:P722" si="336">L712/$E$704-1</f>
        <v>-0.24029269325319047</v>
      </c>
      <c r="M722" s="23">
        <f t="shared" si="336"/>
        <v>-0.19755201009507306</v>
      </c>
      <c r="N722" s="348">
        <f t="shared" si="336"/>
        <v>-0.14942569928479721</v>
      </c>
      <c r="O722" s="23">
        <f t="shared" si="336"/>
        <v>-9.4827373992371844E-2</v>
      </c>
      <c r="P722" s="344">
        <f t="shared" si="336"/>
        <v>-3.2357389925152025E-2</v>
      </c>
    </row>
    <row r="723" spans="1:16">
      <c r="B723" s="361"/>
      <c r="C723" s="17">
        <f t="shared" si="331"/>
        <v>7.2499999999999995E-2</v>
      </c>
      <c r="D723" s="326">
        <f t="shared" ref="D723:H723" si="337">D713-$E$702</f>
        <v>647516.36354977475</v>
      </c>
      <c r="E723" s="78">
        <f t="shared" si="337"/>
        <v>681558.65649702365</v>
      </c>
      <c r="F723" s="78">
        <f t="shared" si="337"/>
        <v>719605.92508512549</v>
      </c>
      <c r="G723" s="78">
        <f t="shared" si="337"/>
        <v>762409.10224674002</v>
      </c>
      <c r="H723" s="327">
        <f t="shared" si="337"/>
        <v>810919.36969656986</v>
      </c>
      <c r="J723" s="361"/>
      <c r="K723" s="17">
        <f t="shared" si="333"/>
        <v>7.2499999999999995E-2</v>
      </c>
      <c r="L723" s="343">
        <f t="shared" ref="L723:P723" si="338">L713/$E$704-1</f>
        <v>-0.29102793889218781</v>
      </c>
      <c r="M723" s="23">
        <f t="shared" si="338"/>
        <v>-0.25375469615383373</v>
      </c>
      <c r="N723" s="23">
        <f t="shared" si="338"/>
        <v>-0.21209636603449689</v>
      </c>
      <c r="O723" s="23">
        <f t="shared" si="338"/>
        <v>-0.1652307446502429</v>
      </c>
      <c r="P723" s="344">
        <f t="shared" si="338"/>
        <v>-0.11211637374808847</v>
      </c>
    </row>
    <row r="724" spans="1:16">
      <c r="B724" s="361"/>
      <c r="C724" s="17">
        <f t="shared" si="331"/>
        <v>7.4999999999999997E-2</v>
      </c>
      <c r="D724" s="328">
        <f t="shared" ref="D724:H724" si="339">D714-$E$702</f>
        <v>610835.02222397702</v>
      </c>
      <c r="E724" s="329">
        <f t="shared" si="339"/>
        <v>641177.2644861727</v>
      </c>
      <c r="F724" s="329">
        <f t="shared" si="339"/>
        <v>674890.8669997236</v>
      </c>
      <c r="G724" s="329">
        <f t="shared" si="339"/>
        <v>712570.77569133928</v>
      </c>
      <c r="H724" s="330">
        <f t="shared" si="339"/>
        <v>754960.67296940694</v>
      </c>
      <c r="J724" s="361"/>
      <c r="K724" s="17">
        <f t="shared" si="333"/>
        <v>7.4999999999999997E-2</v>
      </c>
      <c r="L724" s="345">
        <f t="shared" ref="L724:P724" si="340">L714/$E$704-1</f>
        <v>-0.33119070176258258</v>
      </c>
      <c r="M724" s="346">
        <f t="shared" si="340"/>
        <v>-0.29796868105976859</v>
      </c>
      <c r="N724" s="346">
        <f t="shared" si="340"/>
        <v>-0.2610553247233085</v>
      </c>
      <c r="O724" s="346">
        <f t="shared" si="340"/>
        <v>-0.21979922058255885</v>
      </c>
      <c r="P724" s="347">
        <f t="shared" si="340"/>
        <v>-0.17338610342421579</v>
      </c>
    </row>
    <row r="728" spans="1:16">
      <c r="A728" t="s">
        <v>95</v>
      </c>
    </row>
  </sheetData>
  <mergeCells count="4">
    <mergeCell ref="B710:B714"/>
    <mergeCell ref="B720:B724"/>
    <mergeCell ref="J710:J714"/>
    <mergeCell ref="J720:J724"/>
  </mergeCells>
  <conditionalFormatting sqref="D295">
    <cfRule type="expression" dxfId="1" priority="2">
      <formula>$D$320=1</formula>
    </cfRule>
  </conditionalFormatting>
  <conditionalFormatting sqref="D337">
    <cfRule type="expression" dxfId="0" priority="1">
      <formula>$D$320=1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92576-FC53-4293-9BB5-31EBE1EB31FA}">
  <dimension ref="A1:N196"/>
  <sheetViews>
    <sheetView showGridLines="0" topLeftCell="A131" zoomScale="81" workbookViewId="0">
      <selection activeCell="B183" sqref="B183"/>
    </sheetView>
  </sheetViews>
  <sheetFormatPr defaultRowHeight="14.4"/>
  <cols>
    <col min="1" max="1" width="44.44140625" customWidth="1"/>
    <col min="2" max="2" width="19.33203125" bestFit="1" customWidth="1"/>
    <col min="3" max="4" width="11.109375" customWidth="1"/>
    <col min="5" max="5" width="12.77734375" bestFit="1" customWidth="1"/>
    <col min="6" max="6" width="14.77734375" bestFit="1" customWidth="1"/>
    <col min="7" max="7" width="11.44140625" bestFit="1" customWidth="1"/>
    <col min="8" max="8" width="12" bestFit="1" customWidth="1"/>
    <col min="9" max="9" width="9" bestFit="1" customWidth="1"/>
    <col min="10" max="10" width="9.77734375" bestFit="1" customWidth="1"/>
  </cols>
  <sheetData>
    <row r="1" spans="1:10">
      <c r="A1" s="13" t="s">
        <v>96</v>
      </c>
      <c r="B1" s="14"/>
      <c r="C1" s="14"/>
      <c r="D1" s="14"/>
      <c r="E1" s="14"/>
      <c r="F1" s="14"/>
      <c r="G1" s="14"/>
      <c r="H1" s="14"/>
    </row>
    <row r="2" spans="1:10">
      <c r="A2" s="14"/>
      <c r="B2" s="14" t="s">
        <v>97</v>
      </c>
      <c r="C2" s="14"/>
      <c r="D2" s="14"/>
      <c r="E2" s="14"/>
      <c r="F2" s="14"/>
      <c r="G2" s="14"/>
      <c r="H2" s="14"/>
    </row>
    <row r="3" spans="1:10">
      <c r="A3" s="14"/>
      <c r="B3" s="14" t="s">
        <v>98</v>
      </c>
      <c r="C3" s="21">
        <v>44592</v>
      </c>
      <c r="D3" s="21">
        <v>44957</v>
      </c>
      <c r="E3" s="21">
        <v>45322</v>
      </c>
      <c r="F3" s="21">
        <v>45688</v>
      </c>
      <c r="G3" s="21">
        <v>46053</v>
      </c>
      <c r="H3" s="14"/>
    </row>
    <row r="4" spans="1:10">
      <c r="A4" s="14" t="s">
        <v>99</v>
      </c>
      <c r="B4" s="14" t="s">
        <v>100</v>
      </c>
      <c r="C4" s="14">
        <v>19204</v>
      </c>
      <c r="D4" s="14">
        <v>19317</v>
      </c>
      <c r="E4" s="14">
        <v>19562</v>
      </c>
      <c r="F4" s="14">
        <v>19342</v>
      </c>
      <c r="G4" s="14">
        <v>20754</v>
      </c>
      <c r="H4" s="14"/>
    </row>
    <row r="5" spans="1:10">
      <c r="A5" s="14" t="s">
        <v>101</v>
      </c>
      <c r="B5" s="14" t="s">
        <v>102</v>
      </c>
      <c r="C5" s="14">
        <v>100376</v>
      </c>
      <c r="D5" s="14">
        <v>104554</v>
      </c>
      <c r="E5" s="14">
        <v>111767</v>
      </c>
      <c r="F5" s="14">
        <v>117973</v>
      </c>
      <c r="G5" s="14">
        <v>128472</v>
      </c>
      <c r="H5" s="14"/>
    </row>
    <row r="6" spans="1:10">
      <c r="A6" s="14" t="s">
        <v>103</v>
      </c>
      <c r="B6" s="14" t="s">
        <v>104</v>
      </c>
      <c r="C6" s="14">
        <v>60282</v>
      </c>
      <c r="D6" s="14">
        <v>65235</v>
      </c>
      <c r="E6" s="14">
        <v>72161</v>
      </c>
      <c r="F6" s="14">
        <v>76226</v>
      </c>
      <c r="G6" s="14">
        <v>85539</v>
      </c>
      <c r="H6" s="14"/>
      <c r="I6">
        <f>231617-19342-15403</f>
        <v>196872</v>
      </c>
    </row>
    <row r="7" spans="1:10">
      <c r="A7" s="14" t="s">
        <v>105</v>
      </c>
      <c r="B7" s="14" t="s">
        <v>106</v>
      </c>
      <c r="C7" s="14">
        <v>2263</v>
      </c>
      <c r="D7" s="14">
        <v>2462</v>
      </c>
      <c r="E7" s="14">
        <v>2979</v>
      </c>
      <c r="F7" s="14">
        <v>2673</v>
      </c>
      <c r="G7" s="14">
        <v>2928</v>
      </c>
      <c r="H7" s="14"/>
    </row>
    <row r="8" spans="1:10" ht="15.05" thickBot="1">
      <c r="A8" s="14" t="s">
        <v>107</v>
      </c>
      <c r="B8" s="14" t="s">
        <v>100</v>
      </c>
      <c r="C8" s="14">
        <v>7199</v>
      </c>
      <c r="D8" s="14">
        <v>10802</v>
      </c>
      <c r="E8" s="14">
        <v>13390</v>
      </c>
      <c r="F8" s="14">
        <v>15403</v>
      </c>
      <c r="G8" s="14">
        <v>18728</v>
      </c>
      <c r="H8" s="14"/>
      <c r="I8" s="14">
        <f>G9-G4-G8</f>
        <v>216939</v>
      </c>
    </row>
    <row r="9" spans="1:10">
      <c r="A9" s="15" t="s">
        <v>33</v>
      </c>
      <c r="B9" s="15"/>
      <c r="C9" s="15">
        <v>189324</v>
      </c>
      <c r="D9" s="15">
        <v>202370</v>
      </c>
      <c r="E9" s="15">
        <v>219859</v>
      </c>
      <c r="F9" s="15">
        <v>231617</v>
      </c>
      <c r="G9" s="15">
        <v>256421</v>
      </c>
      <c r="H9" s="14"/>
    </row>
    <row r="10" spans="1:10">
      <c r="A10" s="14" t="s">
        <v>108</v>
      </c>
      <c r="B10" s="14"/>
      <c r="C10" s="14">
        <v>-94809</v>
      </c>
      <c r="D10" s="14">
        <v>-101610</v>
      </c>
      <c r="E10" s="14">
        <v>-109049</v>
      </c>
      <c r="F10" s="14">
        <v>-111624</v>
      </c>
      <c r="G10" s="14">
        <v>-120338</v>
      </c>
      <c r="H10" s="14"/>
    </row>
    <row r="11" spans="1:10" ht="15.05" thickBot="1">
      <c r="A11" s="16" t="s">
        <v>109</v>
      </c>
      <c r="B11" s="16"/>
      <c r="C11" s="16">
        <v>94515</v>
      </c>
      <c r="D11" s="16">
        <v>100760</v>
      </c>
      <c r="E11" s="16">
        <v>110810</v>
      </c>
      <c r="F11" s="16">
        <v>119993</v>
      </c>
      <c r="G11" s="16">
        <v>136083</v>
      </c>
      <c r="H11" s="14"/>
      <c r="I11" s="14">
        <f>G11-G4-G8</f>
        <v>96601</v>
      </c>
      <c r="J11" s="33">
        <f>I11-(G28/24.5%)</f>
        <v>71613.244897959186</v>
      </c>
    </row>
    <row r="12" spans="1:10">
      <c r="A12" s="14"/>
      <c r="B12" s="14"/>
      <c r="C12" s="14"/>
      <c r="D12" s="14"/>
      <c r="E12" s="14"/>
      <c r="F12" s="14"/>
      <c r="G12" s="14"/>
      <c r="H12" s="14"/>
    </row>
    <row r="13" spans="1:10">
      <c r="A13" s="14"/>
      <c r="B13" s="14"/>
      <c r="C13" s="14"/>
      <c r="D13" s="14"/>
      <c r="E13" s="14"/>
      <c r="F13" s="14"/>
      <c r="G13" s="14"/>
      <c r="H13" s="14"/>
    </row>
    <row r="14" spans="1:10">
      <c r="A14" s="14"/>
      <c r="B14" s="14"/>
      <c r="C14" s="14"/>
      <c r="D14" s="14"/>
      <c r="E14" s="14"/>
      <c r="F14" s="14"/>
      <c r="G14" s="14"/>
      <c r="H14" s="14"/>
    </row>
    <row r="15" spans="1:10">
      <c r="A15" s="13" t="s">
        <v>110</v>
      </c>
      <c r="B15" s="14"/>
      <c r="C15" s="14"/>
      <c r="D15" s="14"/>
      <c r="E15" s="14"/>
      <c r="F15" s="14"/>
      <c r="G15" s="14"/>
      <c r="H15" s="14"/>
    </row>
    <row r="16" spans="1:10">
      <c r="A16" s="14"/>
      <c r="B16" s="14"/>
      <c r="C16" s="14">
        <v>2022</v>
      </c>
      <c r="D16" s="14">
        <v>2023</v>
      </c>
      <c r="E16" s="14">
        <v>2024</v>
      </c>
      <c r="F16" s="14">
        <v>2025</v>
      </c>
      <c r="G16" s="14">
        <v>2026</v>
      </c>
      <c r="H16" s="14"/>
    </row>
    <row r="17" spans="1:8">
      <c r="A17" s="14" t="s">
        <v>111</v>
      </c>
      <c r="B17" s="14"/>
      <c r="C17" s="14"/>
      <c r="D17" s="14"/>
      <c r="E17" s="14"/>
      <c r="F17" s="14"/>
      <c r="G17" s="14"/>
      <c r="H17" s="14"/>
    </row>
    <row r="18" spans="1:8">
      <c r="A18" s="14" t="s">
        <v>112</v>
      </c>
      <c r="B18" s="14"/>
      <c r="C18" s="14"/>
      <c r="D18" s="14"/>
      <c r="E18" s="14"/>
      <c r="F18" s="14"/>
      <c r="G18" s="14"/>
      <c r="H18" s="14"/>
    </row>
    <row r="19" spans="1:8">
      <c r="A19" s="14" t="s">
        <v>113</v>
      </c>
      <c r="B19" s="14"/>
      <c r="C19" s="14">
        <v>9456</v>
      </c>
      <c r="D19" s="14">
        <v>7690</v>
      </c>
      <c r="E19" s="14">
        <v>7136</v>
      </c>
      <c r="F19" s="14">
        <v>7539</v>
      </c>
      <c r="G19" s="14">
        <v>4615</v>
      </c>
      <c r="H19" s="14"/>
    </row>
    <row r="20" spans="1:8">
      <c r="A20" s="14" t="s">
        <v>24</v>
      </c>
      <c r="B20" s="14"/>
      <c r="C20" s="14">
        <v>2752</v>
      </c>
      <c r="D20" s="14">
        <v>3312</v>
      </c>
      <c r="E20" s="14">
        <v>3066</v>
      </c>
      <c r="F20" s="14">
        <v>3009</v>
      </c>
      <c r="G20" s="14">
        <v>3504</v>
      </c>
      <c r="H20" s="14"/>
    </row>
    <row r="21" spans="1:8">
      <c r="A21" s="14" t="s">
        <v>114</v>
      </c>
      <c r="B21" s="14"/>
      <c r="C21" s="14">
        <v>231</v>
      </c>
      <c r="D21" s="14">
        <v>237</v>
      </c>
      <c r="E21" s="14">
        <v>238</v>
      </c>
      <c r="F21" s="14">
        <v>263</v>
      </c>
      <c r="G21" s="14">
        <v>0</v>
      </c>
      <c r="H21" s="14"/>
    </row>
    <row r="22" spans="1:8">
      <c r="A22" s="14" t="s">
        <v>115</v>
      </c>
      <c r="B22" s="14"/>
      <c r="C22" s="14">
        <v>4320</v>
      </c>
      <c r="D22" s="14">
        <v>4653</v>
      </c>
      <c r="E22" s="14">
        <v>4831</v>
      </c>
      <c r="F22" s="14">
        <v>4611</v>
      </c>
      <c r="G22" s="14">
        <v>5181</v>
      </c>
      <c r="H22" s="14"/>
    </row>
    <row r="23" spans="1:8">
      <c r="A23" s="14" t="s">
        <v>116</v>
      </c>
      <c r="B23" s="14"/>
      <c r="C23" s="14">
        <v>893</v>
      </c>
      <c r="D23" s="14">
        <v>839</v>
      </c>
      <c r="E23" s="14">
        <v>1124</v>
      </c>
      <c r="F23" s="14">
        <v>1076</v>
      </c>
      <c r="G23" s="14">
        <v>1239</v>
      </c>
      <c r="H23" s="14" t="s">
        <v>174</v>
      </c>
    </row>
    <row r="24" spans="1:8">
      <c r="A24" s="14" t="s">
        <v>117</v>
      </c>
      <c r="B24" s="14"/>
      <c r="C24" s="14">
        <v>17652</v>
      </c>
      <c r="D24" s="14">
        <v>16731</v>
      </c>
      <c r="E24" s="14">
        <v>16395</v>
      </c>
      <c r="F24" s="14">
        <v>16498</v>
      </c>
      <c r="G24" s="14">
        <v>14539</v>
      </c>
      <c r="H24" s="14"/>
    </row>
    <row r="25" spans="1:8">
      <c r="A25" s="14" t="s">
        <v>118</v>
      </c>
      <c r="B25" s="14"/>
      <c r="C25" s="14">
        <v>-9542</v>
      </c>
      <c r="D25" s="14">
        <v>-7815</v>
      </c>
      <c r="E25" s="14">
        <v>-7485</v>
      </c>
      <c r="F25" s="14">
        <v>-7405</v>
      </c>
      <c r="G25" s="14">
        <v>-4421</v>
      </c>
      <c r="H25" s="14"/>
    </row>
    <row r="26" spans="1:8">
      <c r="A26" s="13" t="s">
        <v>119</v>
      </c>
      <c r="B26" s="13"/>
      <c r="C26" s="13">
        <v>8110</v>
      </c>
      <c r="D26" s="13">
        <v>8916</v>
      </c>
      <c r="E26" s="13">
        <v>8910</v>
      </c>
      <c r="F26" s="13">
        <v>9093</v>
      </c>
      <c r="G26" s="13">
        <v>10118</v>
      </c>
      <c r="H26" s="14"/>
    </row>
    <row r="27" spans="1:8">
      <c r="A27" s="14" t="s">
        <v>120</v>
      </c>
      <c r="B27" s="14"/>
      <c r="C27" s="14"/>
      <c r="D27" s="14"/>
      <c r="E27" s="14"/>
      <c r="F27" s="14"/>
      <c r="G27" s="14"/>
      <c r="H27" s="14"/>
    </row>
    <row r="28" spans="1:8">
      <c r="A28" s="14" t="s">
        <v>121</v>
      </c>
      <c r="B28" s="14"/>
      <c r="C28" s="14">
        <v>4414</v>
      </c>
      <c r="D28" s="14">
        <v>4352</v>
      </c>
      <c r="E28" s="14">
        <v>4813</v>
      </c>
      <c r="F28" s="14">
        <v>4303</v>
      </c>
      <c r="G28" s="14">
        <v>6122</v>
      </c>
      <c r="H28" s="14"/>
    </row>
    <row r="29" spans="1:8">
      <c r="A29" s="14" t="s">
        <v>122</v>
      </c>
      <c r="B29" s="14"/>
      <c r="C29" s="14">
        <v>1065</v>
      </c>
      <c r="D29" s="14">
        <v>932</v>
      </c>
      <c r="E29" s="14">
        <v>898</v>
      </c>
      <c r="F29" s="14">
        <v>1096</v>
      </c>
      <c r="G29" s="14">
        <v>1066</v>
      </c>
      <c r="H29" s="14"/>
    </row>
    <row r="30" spans="1:8">
      <c r="A30" s="14" t="s">
        <v>35</v>
      </c>
      <c r="B30" s="14"/>
      <c r="C30" s="14">
        <v>1588</v>
      </c>
      <c r="D30" s="14">
        <v>3032</v>
      </c>
      <c r="E30" s="14">
        <v>3035</v>
      </c>
      <c r="F30" s="14">
        <v>3336</v>
      </c>
      <c r="G30" s="14">
        <v>3570</v>
      </c>
      <c r="H30" s="14"/>
    </row>
    <row r="31" spans="1:8">
      <c r="A31" s="14" t="s">
        <v>123</v>
      </c>
      <c r="B31" s="14"/>
      <c r="C31" s="14">
        <v>4355</v>
      </c>
      <c r="D31" s="14">
        <v>4727</v>
      </c>
      <c r="E31" s="14">
        <v>4941</v>
      </c>
      <c r="F31" s="14">
        <v>4816</v>
      </c>
      <c r="G31" s="14">
        <v>5345</v>
      </c>
      <c r="H31" s="14"/>
    </row>
    <row r="32" spans="1:8">
      <c r="A32" s="14" t="s">
        <v>124</v>
      </c>
      <c r="B32" s="14"/>
      <c r="C32" s="14">
        <v>1825</v>
      </c>
      <c r="D32" s="14">
        <v>1390</v>
      </c>
      <c r="E32" s="14">
        <v>322</v>
      </c>
      <c r="F32" s="14">
        <v>353</v>
      </c>
      <c r="G32" s="14">
        <v>0</v>
      </c>
      <c r="H32" s="14" t="s">
        <v>175</v>
      </c>
    </row>
    <row r="33" spans="1:10">
      <c r="A33" s="14" t="s">
        <v>116</v>
      </c>
      <c r="B33" s="14"/>
      <c r="C33" s="14">
        <v>307</v>
      </c>
      <c r="D33" s="14">
        <v>249</v>
      </c>
      <c r="E33" s="14">
        <v>486</v>
      </c>
      <c r="F33" s="14">
        <v>460</v>
      </c>
      <c r="G33" s="14">
        <v>1373</v>
      </c>
      <c r="H33" s="14"/>
    </row>
    <row r="34" spans="1:10">
      <c r="A34" s="13" t="s">
        <v>125</v>
      </c>
      <c r="B34" s="13"/>
      <c r="C34" s="13">
        <v>13554</v>
      </c>
      <c r="D34" s="13">
        <v>14682</v>
      </c>
      <c r="E34" s="13">
        <v>14495</v>
      </c>
      <c r="F34" s="13">
        <v>14364</v>
      </c>
      <c r="G34" s="13">
        <v>17476</v>
      </c>
      <c r="H34" s="14"/>
    </row>
    <row r="35" spans="1:10" ht="15.05" thickBot="1">
      <c r="A35" s="16" t="s">
        <v>126</v>
      </c>
      <c r="B35" s="16"/>
      <c r="C35" s="16">
        <v>5444</v>
      </c>
      <c r="D35" s="16">
        <v>5766</v>
      </c>
      <c r="E35" s="16">
        <v>5585</v>
      </c>
      <c r="F35" s="16">
        <v>5271</v>
      </c>
      <c r="G35" s="16">
        <v>7358</v>
      </c>
      <c r="H35" s="14"/>
    </row>
    <row r="36" spans="1:10">
      <c r="A36" s="14"/>
      <c r="B36" s="14"/>
      <c r="C36" s="14"/>
      <c r="D36" s="14"/>
      <c r="E36" s="14"/>
      <c r="F36" s="14"/>
      <c r="G36" s="14"/>
      <c r="H36" s="14"/>
    </row>
    <row r="37" spans="1:10">
      <c r="A37" s="14"/>
      <c r="B37" s="14"/>
      <c r="C37" s="14"/>
      <c r="D37" s="14"/>
      <c r="E37" s="14"/>
      <c r="F37" s="14"/>
      <c r="G37" s="14"/>
      <c r="H37" s="14"/>
    </row>
    <row r="38" spans="1:10">
      <c r="A38" s="13" t="s">
        <v>127</v>
      </c>
      <c r="B38" s="14"/>
      <c r="C38" s="14"/>
      <c r="D38" s="14"/>
      <c r="E38" s="14"/>
      <c r="F38" s="14"/>
      <c r="G38" s="14"/>
      <c r="H38" s="14"/>
    </row>
    <row r="39" spans="1:10">
      <c r="A39" s="13"/>
      <c r="B39" s="14"/>
      <c r="C39" s="14"/>
      <c r="D39" s="14"/>
      <c r="E39" s="14"/>
      <c r="F39" s="14"/>
      <c r="G39" s="14"/>
      <c r="H39" s="14"/>
    </row>
    <row r="40" spans="1:10">
      <c r="A40" t="s">
        <v>128</v>
      </c>
      <c r="B40" s="14"/>
      <c r="C40" s="14"/>
      <c r="D40" s="14"/>
      <c r="E40" s="14"/>
      <c r="F40" s="14"/>
      <c r="G40" s="14"/>
      <c r="H40" s="14"/>
    </row>
    <row r="41" spans="1:10">
      <c r="A41" t="s">
        <v>129</v>
      </c>
      <c r="B41" s="14"/>
      <c r="C41" s="14"/>
      <c r="D41" s="14"/>
      <c r="E41" s="14"/>
      <c r="F41" s="14"/>
      <c r="G41" s="14"/>
      <c r="H41" s="14"/>
    </row>
    <row r="42" spans="1:10">
      <c r="A42" t="s">
        <v>204</v>
      </c>
      <c r="B42" s="14"/>
      <c r="C42" s="14"/>
      <c r="D42" s="14"/>
      <c r="E42" s="14"/>
      <c r="F42" s="14"/>
      <c r="G42" s="14"/>
      <c r="H42" s="14"/>
    </row>
    <row r="43" spans="1:10">
      <c r="A43" s="14" t="s">
        <v>130</v>
      </c>
      <c r="D43" s="364" t="s">
        <v>131</v>
      </c>
      <c r="E43" s="364"/>
      <c r="F43" s="364"/>
      <c r="G43" s="364" t="s">
        <v>132</v>
      </c>
      <c r="H43" s="364"/>
      <c r="I43" s="364"/>
    </row>
    <row r="44" spans="1:10">
      <c r="B44" s="14"/>
      <c r="C44" s="14"/>
      <c r="D44" s="14" t="s">
        <v>133</v>
      </c>
      <c r="E44" s="14" t="s">
        <v>134</v>
      </c>
      <c r="F44" s="14" t="s">
        <v>135</v>
      </c>
      <c r="G44" s="14" t="s">
        <v>133</v>
      </c>
      <c r="H44" s="14" t="s">
        <v>134</v>
      </c>
      <c r="I44" s="14" t="s">
        <v>135</v>
      </c>
      <c r="J44" s="14" t="s">
        <v>176</v>
      </c>
    </row>
    <row r="45" spans="1:10">
      <c r="A45" s="14" t="s">
        <v>136</v>
      </c>
      <c r="B45" s="14"/>
      <c r="C45" s="14"/>
      <c r="D45" s="14">
        <v>5000</v>
      </c>
      <c r="E45" s="14">
        <v>0</v>
      </c>
      <c r="F45" s="14">
        <v>5000</v>
      </c>
      <c r="G45" s="14">
        <v>5000</v>
      </c>
      <c r="H45" s="14">
        <v>0</v>
      </c>
      <c r="I45" s="14">
        <v>5000</v>
      </c>
      <c r="J45" t="s">
        <v>203</v>
      </c>
    </row>
    <row r="46" spans="1:10">
      <c r="A46" s="14" t="s">
        <v>137</v>
      </c>
      <c r="B46" s="14"/>
      <c r="C46" s="14"/>
      <c r="D46" s="14">
        <v>10000</v>
      </c>
      <c r="E46" s="14">
        <v>0</v>
      </c>
      <c r="F46" s="14">
        <v>10000</v>
      </c>
      <c r="G46" s="14">
        <v>10000</v>
      </c>
      <c r="H46" s="14">
        <v>0</v>
      </c>
      <c r="I46" s="14">
        <v>10000</v>
      </c>
    </row>
    <row r="47" spans="1:10" ht="15.05" thickBot="1">
      <c r="A47" s="16" t="s">
        <v>138</v>
      </c>
      <c r="B47" s="16"/>
      <c r="C47" s="16"/>
      <c r="D47" s="16">
        <v>15000</v>
      </c>
      <c r="E47" s="16">
        <v>0</v>
      </c>
      <c r="F47" s="16">
        <v>15000</v>
      </c>
      <c r="G47" s="16">
        <v>15000</v>
      </c>
      <c r="H47" s="16">
        <v>0</v>
      </c>
      <c r="I47" s="16">
        <v>15000</v>
      </c>
    </row>
    <row r="48" spans="1:10">
      <c r="A48" s="14"/>
      <c r="B48" s="14"/>
      <c r="C48" s="14"/>
      <c r="D48" s="14"/>
      <c r="E48" s="14"/>
      <c r="F48" s="14"/>
      <c r="G48" s="14"/>
      <c r="H48" s="14"/>
    </row>
    <row r="49" spans="1:10">
      <c r="A49" s="14"/>
      <c r="B49" s="14"/>
      <c r="C49" s="14"/>
      <c r="D49" s="14"/>
      <c r="E49" s="14"/>
      <c r="F49" s="14"/>
      <c r="G49" s="14"/>
      <c r="H49" s="14"/>
    </row>
    <row r="50" spans="1:10">
      <c r="A50" s="13" t="s">
        <v>139</v>
      </c>
      <c r="E50" s="364" t="s">
        <v>131</v>
      </c>
      <c r="F50" s="364"/>
      <c r="G50" s="364" t="s">
        <v>132</v>
      </c>
      <c r="H50" s="364"/>
      <c r="I50" s="364" t="s">
        <v>180</v>
      </c>
      <c r="J50" s="364"/>
    </row>
    <row r="51" spans="1:10">
      <c r="A51" s="13"/>
      <c r="B51" s="14" t="s">
        <v>140</v>
      </c>
      <c r="C51" s="14"/>
      <c r="D51" s="14"/>
      <c r="E51" s="14" t="s">
        <v>141</v>
      </c>
      <c r="F51" s="14" t="s">
        <v>142</v>
      </c>
      <c r="G51" s="14" t="s">
        <v>141</v>
      </c>
      <c r="H51" s="14" t="s">
        <v>142</v>
      </c>
      <c r="I51" s="14" t="s">
        <v>141</v>
      </c>
      <c r="J51" s="14" t="s">
        <v>142</v>
      </c>
    </row>
    <row r="52" spans="1:10">
      <c r="A52" s="14" t="s">
        <v>143</v>
      </c>
      <c r="B52" s="14"/>
      <c r="C52" s="14"/>
      <c r="D52" s="14"/>
      <c r="E52" s="14"/>
      <c r="F52" s="14"/>
      <c r="G52" s="14"/>
    </row>
    <row r="53" spans="1:10">
      <c r="A53" s="14" t="s">
        <v>169</v>
      </c>
      <c r="B53" s="14" t="s">
        <v>179</v>
      </c>
      <c r="C53" s="14"/>
      <c r="D53" s="14"/>
      <c r="E53" s="14">
        <v>34527</v>
      </c>
      <c r="F53" s="17">
        <v>3.6999999999999998E-2</v>
      </c>
      <c r="G53" s="14">
        <v>31406</v>
      </c>
      <c r="H53" s="17">
        <v>3.7999999999999999E-2</v>
      </c>
      <c r="I53" s="14">
        <v>32032</v>
      </c>
      <c r="J53" s="17">
        <v>3.9E-2</v>
      </c>
    </row>
    <row r="54" spans="1:10">
      <c r="A54" s="14" t="s">
        <v>178</v>
      </c>
      <c r="B54" s="14" t="s">
        <v>149</v>
      </c>
      <c r="C54" s="14"/>
      <c r="D54" s="14"/>
      <c r="E54" s="14">
        <v>0</v>
      </c>
      <c r="F54" s="14">
        <v>0</v>
      </c>
      <c r="G54" s="14">
        <v>0</v>
      </c>
      <c r="H54" s="14">
        <v>0</v>
      </c>
      <c r="I54" s="14">
        <v>750</v>
      </c>
      <c r="J54" s="17">
        <v>4.1000000000000002E-2</v>
      </c>
    </row>
    <row r="55" spans="1:10">
      <c r="A55" s="14" t="s">
        <v>177</v>
      </c>
      <c r="B55" s="14"/>
      <c r="C55" s="14"/>
      <c r="D55" s="14"/>
      <c r="E55" s="14">
        <v>34527</v>
      </c>
      <c r="F55" s="17">
        <v>3.6999999999999998E-2</v>
      </c>
      <c r="G55" s="14">
        <v>31406</v>
      </c>
      <c r="H55" s="17"/>
      <c r="I55" s="14">
        <v>32782</v>
      </c>
    </row>
    <row r="56" spans="1:10">
      <c r="A56" s="14" t="s">
        <v>144</v>
      </c>
      <c r="B56" s="14" t="s">
        <v>145</v>
      </c>
      <c r="C56" s="14"/>
      <c r="D56" s="14"/>
      <c r="E56" s="14">
        <v>1789</v>
      </c>
      <c r="F56" s="17">
        <v>0.04</v>
      </c>
      <c r="G56" s="14">
        <v>1715</v>
      </c>
      <c r="H56" s="17">
        <v>0.04</v>
      </c>
      <c r="I56" s="14">
        <v>1955</v>
      </c>
      <c r="J56" s="17">
        <v>0.04</v>
      </c>
    </row>
    <row r="57" spans="1:10">
      <c r="A57" s="14" t="s">
        <v>146</v>
      </c>
      <c r="B57" s="14" t="s">
        <v>147</v>
      </c>
      <c r="C57" s="14"/>
      <c r="D57" s="14"/>
      <c r="E57" s="14">
        <v>3412</v>
      </c>
      <c r="F57" s="17">
        <v>5.3999999999999999E-2</v>
      </c>
      <c r="G57" s="14">
        <v>3336</v>
      </c>
      <c r="H57" s="17">
        <v>5.3999999999999999E-2</v>
      </c>
      <c r="I57" s="14">
        <v>3677</v>
      </c>
      <c r="J57" s="17">
        <v>5.3999999999999999E-2</v>
      </c>
    </row>
    <row r="58" spans="1:10">
      <c r="A58" s="14" t="s">
        <v>148</v>
      </c>
      <c r="B58" s="14" t="s">
        <v>149</v>
      </c>
      <c r="C58" s="14"/>
      <c r="D58" s="14"/>
      <c r="E58" s="14">
        <v>677</v>
      </c>
      <c r="F58" s="17">
        <v>4.0000000000000001E-3</v>
      </c>
      <c r="G58" s="14">
        <v>389</v>
      </c>
      <c r="H58" s="17">
        <v>5.0000000000000001E-3</v>
      </c>
      <c r="I58" s="14">
        <v>388</v>
      </c>
      <c r="J58" s="17">
        <v>5.0000000000000001E-3</v>
      </c>
    </row>
    <row r="59" spans="1:10">
      <c r="A59" s="13" t="s">
        <v>150</v>
      </c>
      <c r="B59" s="13"/>
      <c r="C59" s="13"/>
      <c r="D59" s="13"/>
      <c r="E59" s="18">
        <v>40405</v>
      </c>
      <c r="F59" s="13"/>
      <c r="G59" s="18">
        <v>36846</v>
      </c>
      <c r="H59" s="13"/>
      <c r="I59" s="18">
        <v>38802</v>
      </c>
    </row>
    <row r="60" spans="1:10">
      <c r="A60" s="14" t="s">
        <v>151</v>
      </c>
      <c r="B60" s="14"/>
      <c r="C60" s="14"/>
      <c r="D60" s="14"/>
      <c r="E60" s="14">
        <v>-826</v>
      </c>
      <c r="F60" s="14"/>
      <c r="G60" s="14">
        <v>-847</v>
      </c>
      <c r="H60" s="14"/>
      <c r="I60" s="14">
        <v>-636</v>
      </c>
    </row>
    <row r="61" spans="1:10">
      <c r="A61" s="13" t="s">
        <v>152</v>
      </c>
      <c r="B61" s="13"/>
      <c r="C61" s="13"/>
      <c r="D61" s="13"/>
      <c r="E61" s="18">
        <v>39579</v>
      </c>
      <c r="F61" s="13"/>
      <c r="G61" s="18">
        <v>35999</v>
      </c>
      <c r="H61" s="14"/>
      <c r="I61" s="18">
        <v>38166</v>
      </c>
    </row>
    <row r="62" spans="1:10">
      <c r="A62" s="14" t="s">
        <v>153</v>
      </c>
      <c r="B62" s="14"/>
      <c r="C62" s="14"/>
      <c r="D62" s="14"/>
      <c r="E62" s="14">
        <v>-3447</v>
      </c>
      <c r="F62" s="14"/>
      <c r="G62" s="14">
        <v>-2598</v>
      </c>
      <c r="H62" s="14"/>
      <c r="I62" s="14">
        <v>-3542</v>
      </c>
    </row>
    <row r="63" spans="1:10" ht="15.05" thickBot="1">
      <c r="A63" s="16" t="s">
        <v>139</v>
      </c>
      <c r="B63" s="16"/>
      <c r="C63" s="16"/>
      <c r="D63" s="16"/>
      <c r="E63" s="16">
        <v>36132</v>
      </c>
      <c r="F63" s="16"/>
      <c r="G63" s="16">
        <v>33401</v>
      </c>
      <c r="H63" s="16"/>
      <c r="I63" s="16">
        <v>34624</v>
      </c>
    </row>
    <row r="64" spans="1:10">
      <c r="A64" s="14"/>
      <c r="B64" s="14"/>
      <c r="C64" s="14"/>
      <c r="D64" s="14"/>
      <c r="E64" s="14"/>
      <c r="F64" s="14"/>
      <c r="G64" s="14"/>
      <c r="H64" s="14"/>
    </row>
    <row r="65" spans="1:8">
      <c r="A65" s="14"/>
      <c r="B65" s="14"/>
      <c r="C65" s="14"/>
      <c r="D65" s="14"/>
      <c r="E65" s="14"/>
      <c r="F65" s="14"/>
      <c r="G65" s="14"/>
      <c r="H65" s="14"/>
    </row>
    <row r="66" spans="1:8">
      <c r="A66" s="5" t="s">
        <v>154</v>
      </c>
      <c r="B66" s="14"/>
      <c r="C66" s="14"/>
      <c r="D66" s="14"/>
      <c r="E66" s="14"/>
      <c r="F66" s="14"/>
      <c r="G66" s="14"/>
      <c r="H66" s="14"/>
    </row>
    <row r="67" spans="1:8">
      <c r="A67" s="14"/>
      <c r="B67" s="14"/>
      <c r="C67" s="14"/>
      <c r="D67" s="14"/>
      <c r="E67" s="14"/>
      <c r="F67" s="14"/>
      <c r="G67" s="14"/>
      <c r="H67" s="14"/>
    </row>
    <row r="68" spans="1:8">
      <c r="A68" s="14" t="s">
        <v>155</v>
      </c>
      <c r="B68" s="14"/>
      <c r="C68" s="14"/>
      <c r="D68" s="14"/>
      <c r="E68" s="14"/>
      <c r="F68" s="14"/>
      <c r="G68" s="14"/>
      <c r="H68" s="14"/>
    </row>
    <row r="69" spans="1:8">
      <c r="A69" s="14" t="s">
        <v>156</v>
      </c>
      <c r="B69" s="14"/>
      <c r="C69" s="14"/>
      <c r="D69" s="14"/>
      <c r="E69" s="14"/>
      <c r="F69" s="14"/>
      <c r="G69" s="14"/>
      <c r="H69" s="14"/>
    </row>
    <row r="70" spans="1:8">
      <c r="A70" s="19" t="s">
        <v>206</v>
      </c>
      <c r="B70" s="14">
        <v>4191</v>
      </c>
      <c r="C70" s="22" t="s">
        <v>208</v>
      </c>
      <c r="D70" s="14"/>
      <c r="E70" s="14"/>
      <c r="F70" s="14"/>
      <c r="G70" s="14"/>
      <c r="H70" s="14"/>
    </row>
    <row r="71" spans="1:8">
      <c r="A71" s="19" t="s">
        <v>205</v>
      </c>
      <c r="B71" s="14">
        <v>3447</v>
      </c>
      <c r="C71" s="22" t="s">
        <v>207</v>
      </c>
      <c r="D71" s="14"/>
      <c r="E71" s="14"/>
      <c r="F71" s="14"/>
      <c r="G71" s="14"/>
      <c r="H71" s="14"/>
    </row>
    <row r="72" spans="1:8">
      <c r="A72" s="19">
        <v>2026</v>
      </c>
      <c r="B72" s="14">
        <v>2598</v>
      </c>
      <c r="C72" s="22" t="s">
        <v>209</v>
      </c>
      <c r="D72" s="14"/>
      <c r="E72" s="14"/>
      <c r="F72" s="14"/>
      <c r="G72" s="14"/>
      <c r="H72" s="14"/>
    </row>
    <row r="73" spans="1:8">
      <c r="A73" s="19" t="s">
        <v>181</v>
      </c>
      <c r="B73" s="14">
        <v>3542</v>
      </c>
      <c r="C73" s="22" t="s">
        <v>210</v>
      </c>
      <c r="D73" s="14"/>
      <c r="E73" s="14"/>
      <c r="F73" s="14"/>
      <c r="G73" s="14"/>
      <c r="H73" s="14"/>
    </row>
    <row r="74" spans="1:8">
      <c r="A74" s="19" t="s">
        <v>182</v>
      </c>
      <c r="B74" s="14">
        <v>3237</v>
      </c>
      <c r="C74" s="14"/>
      <c r="D74" s="14"/>
      <c r="E74" s="14"/>
      <c r="F74" s="14"/>
      <c r="G74" s="14"/>
      <c r="H74" s="14"/>
    </row>
    <row r="75" spans="1:8">
      <c r="A75" s="19" t="s">
        <v>183</v>
      </c>
      <c r="B75" s="14">
        <v>3389</v>
      </c>
      <c r="C75" s="14"/>
      <c r="D75" s="14"/>
      <c r="E75" s="14"/>
      <c r="F75" s="14"/>
      <c r="G75" s="14"/>
      <c r="H75" s="14"/>
    </row>
    <row r="76" spans="1:8">
      <c r="A76" s="19" t="s">
        <v>184</v>
      </c>
      <c r="B76" s="14">
        <v>2143</v>
      </c>
      <c r="C76" s="14"/>
      <c r="D76" s="14"/>
      <c r="E76" s="14"/>
      <c r="F76" s="14"/>
      <c r="G76" s="14"/>
      <c r="H76" s="14"/>
    </row>
    <row r="77" spans="1:8">
      <c r="A77" s="19" t="s">
        <v>185</v>
      </c>
      <c r="B77" s="14">
        <v>2600</v>
      </c>
      <c r="C77" s="14"/>
      <c r="D77" s="14"/>
      <c r="E77" s="14"/>
      <c r="F77" s="14"/>
      <c r="G77" s="14"/>
      <c r="H77" s="14"/>
    </row>
    <row r="78" spans="1:8">
      <c r="A78" s="19" t="s">
        <v>157</v>
      </c>
      <c r="B78" s="14">
        <v>23255</v>
      </c>
      <c r="C78" s="14"/>
      <c r="D78" s="14"/>
      <c r="E78" s="14"/>
      <c r="F78" s="14"/>
      <c r="G78" s="14"/>
      <c r="H78" s="14"/>
    </row>
    <row r="79" spans="1:8" ht="15.05" thickBot="1">
      <c r="A79" s="16" t="s">
        <v>138</v>
      </c>
      <c r="B79" s="16">
        <f>SUM(B73:B78)</f>
        <v>38166</v>
      </c>
      <c r="C79" s="13"/>
      <c r="D79" s="13"/>
      <c r="E79" s="14"/>
      <c r="F79" s="14"/>
      <c r="G79" s="14"/>
      <c r="H79" s="14"/>
    </row>
    <row r="80" spans="1:8">
      <c r="A80" s="14"/>
      <c r="B80" s="14"/>
      <c r="C80" s="14"/>
      <c r="D80" s="14"/>
      <c r="E80" s="14"/>
      <c r="F80" s="14"/>
      <c r="G80" s="14"/>
      <c r="H80" s="14"/>
    </row>
    <row r="81" spans="1:8">
      <c r="A81" s="13" t="s">
        <v>158</v>
      </c>
      <c r="B81" s="20">
        <f>(31406/36846)*3.8%+(1715/36846)*4%+(3336/36846)*5.4%+(389/36846)*0.5%</f>
        <v>3.9193318134940022E-2</v>
      </c>
      <c r="C81" s="20"/>
      <c r="D81" s="20"/>
      <c r="E81" s="14"/>
      <c r="F81" s="14"/>
      <c r="G81" s="14"/>
      <c r="H81" s="14"/>
    </row>
    <row r="82" spans="1:8">
      <c r="B82" s="14"/>
      <c r="C82" s="14"/>
      <c r="D82" s="14"/>
      <c r="E82" s="17"/>
      <c r="F82" s="14"/>
      <c r="G82" s="14"/>
      <c r="H82" s="14"/>
    </row>
    <row r="83" spans="1:8">
      <c r="A83" s="13" t="s">
        <v>159</v>
      </c>
      <c r="B83" s="14"/>
      <c r="C83" s="14"/>
      <c r="D83" s="14"/>
      <c r="E83" s="14"/>
      <c r="F83" s="14"/>
      <c r="G83" s="14"/>
      <c r="H83" s="14"/>
    </row>
    <row r="84" spans="1:8">
      <c r="A84" s="14"/>
      <c r="B84" s="14"/>
      <c r="C84" s="14"/>
      <c r="D84" s="14"/>
      <c r="E84" s="14"/>
      <c r="F84" s="14"/>
      <c r="G84" s="14"/>
      <c r="H84" s="14"/>
    </row>
    <row r="85" spans="1:8">
      <c r="A85" t="s">
        <v>160</v>
      </c>
      <c r="B85" s="14"/>
      <c r="C85" s="14"/>
      <c r="D85" s="14"/>
      <c r="E85" s="14"/>
      <c r="F85" s="14"/>
      <c r="G85" s="14"/>
      <c r="H85" s="14"/>
    </row>
    <row r="86" spans="1:8">
      <c r="A86" s="14"/>
      <c r="B86" s="14"/>
      <c r="C86" s="14"/>
      <c r="D86" s="14"/>
      <c r="E86" s="14"/>
      <c r="F86" s="14"/>
      <c r="G86" s="14"/>
      <c r="H86" s="14"/>
    </row>
    <row r="87" spans="1:8">
      <c r="A87" s="14" t="s">
        <v>161</v>
      </c>
      <c r="B87" s="14" t="s">
        <v>162</v>
      </c>
      <c r="C87" s="14"/>
      <c r="D87" s="14"/>
      <c r="E87" s="14" t="s">
        <v>163</v>
      </c>
      <c r="F87" s="14" t="s">
        <v>164</v>
      </c>
      <c r="G87" s="14" t="s">
        <v>165</v>
      </c>
      <c r="H87" s="14" t="s">
        <v>166</v>
      </c>
    </row>
    <row r="88" spans="1:8">
      <c r="A88" s="14" t="s">
        <v>167</v>
      </c>
      <c r="B88" s="14">
        <v>750</v>
      </c>
      <c r="C88" s="14"/>
      <c r="D88" s="14"/>
      <c r="E88" s="14" t="s">
        <v>168</v>
      </c>
      <c r="F88" s="14" t="s">
        <v>169</v>
      </c>
      <c r="G88" s="17">
        <v>0.04</v>
      </c>
      <c r="H88" s="14">
        <v>748</v>
      </c>
    </row>
    <row r="89" spans="1:8">
      <c r="A89" s="14" t="s">
        <v>167</v>
      </c>
      <c r="B89" s="14">
        <v>750</v>
      </c>
      <c r="C89" s="14"/>
      <c r="D89" s="14"/>
      <c r="E89" s="14" t="s">
        <v>170</v>
      </c>
      <c r="F89" s="14" t="s">
        <v>169</v>
      </c>
      <c r="G89" s="17">
        <v>3.9E-2</v>
      </c>
      <c r="H89" s="14">
        <v>746</v>
      </c>
    </row>
    <row r="90" spans="1:8">
      <c r="A90" s="14" t="s">
        <v>167</v>
      </c>
      <c r="B90" s="14">
        <v>500</v>
      </c>
      <c r="C90" s="14"/>
      <c r="D90" s="14"/>
      <c r="E90" s="14" t="s">
        <v>171</v>
      </c>
      <c r="F90" s="14" t="s">
        <v>169</v>
      </c>
      <c r="G90" s="17">
        <v>0.04</v>
      </c>
      <c r="H90" s="14">
        <v>497</v>
      </c>
    </row>
    <row r="91" spans="1:8">
      <c r="A91" s="14" t="s">
        <v>167</v>
      </c>
      <c r="B91" s="14">
        <v>1500</v>
      </c>
      <c r="C91" s="14"/>
      <c r="D91" s="14"/>
      <c r="E91" s="14" t="s">
        <v>172</v>
      </c>
      <c r="F91" s="14" t="s">
        <v>169</v>
      </c>
      <c r="G91" s="17">
        <v>4.1000000000000002E-2</v>
      </c>
      <c r="H91" s="14">
        <v>1491</v>
      </c>
    </row>
    <row r="92" spans="1:8">
      <c r="A92" s="14" t="s">
        <v>167</v>
      </c>
      <c r="B92" s="14">
        <v>1500</v>
      </c>
      <c r="C92" s="14"/>
      <c r="D92" s="14"/>
      <c r="E92" s="14" t="s">
        <v>173</v>
      </c>
      <c r="F92" s="14" t="s">
        <v>169</v>
      </c>
      <c r="G92" s="17">
        <v>4.4999999999999998E-2</v>
      </c>
      <c r="H92" s="14">
        <v>1485</v>
      </c>
    </row>
    <row r="93" spans="1:8" ht="15.05" thickBot="1">
      <c r="A93" s="16" t="s">
        <v>138</v>
      </c>
      <c r="B93" s="16"/>
      <c r="C93" s="16"/>
      <c r="D93" s="16"/>
      <c r="E93" s="16"/>
      <c r="F93" s="16"/>
      <c r="G93" s="16"/>
      <c r="H93" s="16">
        <v>4967</v>
      </c>
    </row>
    <row r="94" spans="1:8">
      <c r="A94" s="14"/>
      <c r="B94" s="14"/>
      <c r="C94" s="14"/>
      <c r="D94" s="14"/>
      <c r="E94" s="14"/>
      <c r="F94" s="14"/>
      <c r="G94" s="14"/>
      <c r="H94" s="14"/>
    </row>
    <row r="96" spans="1:8">
      <c r="A96" s="14" t="s">
        <v>186</v>
      </c>
    </row>
    <row r="98" spans="1:8">
      <c r="A98" s="14" t="s">
        <v>161</v>
      </c>
      <c r="B98" s="14" t="s">
        <v>162</v>
      </c>
      <c r="C98" s="14"/>
      <c r="D98" s="14"/>
      <c r="E98" s="14" t="s">
        <v>163</v>
      </c>
      <c r="F98" s="14" t="s">
        <v>164</v>
      </c>
      <c r="G98" s="14" t="s">
        <v>165</v>
      </c>
      <c r="H98" s="14" t="s">
        <v>166</v>
      </c>
    </row>
    <row r="99" spans="1:8">
      <c r="A99" s="14" t="s">
        <v>187</v>
      </c>
      <c r="B99" s="14">
        <v>750</v>
      </c>
      <c r="C99" s="14"/>
      <c r="D99" s="14"/>
      <c r="E99" s="14" t="s">
        <v>188</v>
      </c>
      <c r="F99" s="14" t="s">
        <v>191</v>
      </c>
      <c r="G99" s="14" t="s">
        <v>191</v>
      </c>
      <c r="H99" s="14">
        <v>749</v>
      </c>
    </row>
    <row r="100" spans="1:8">
      <c r="A100" s="14" t="s">
        <v>187</v>
      </c>
      <c r="B100" s="14">
        <v>750</v>
      </c>
      <c r="C100" s="14"/>
      <c r="D100" s="14"/>
      <c r="E100" s="14" t="s">
        <v>188</v>
      </c>
      <c r="F100" s="14" t="s">
        <v>169</v>
      </c>
      <c r="G100" s="17">
        <v>4.1000000000000002E-2</v>
      </c>
      <c r="H100" s="14">
        <v>748</v>
      </c>
    </row>
    <row r="101" spans="1:8">
      <c r="A101" s="14" t="s">
        <v>187</v>
      </c>
      <c r="B101" s="14">
        <v>500</v>
      </c>
      <c r="C101" s="14"/>
      <c r="D101" s="14"/>
      <c r="E101" s="14" t="s">
        <v>189</v>
      </c>
      <c r="F101" s="14" t="s">
        <v>169</v>
      </c>
      <c r="G101" s="17">
        <v>4.3499999999999997E-2</v>
      </c>
      <c r="H101" s="14">
        <v>993</v>
      </c>
    </row>
    <row r="102" spans="1:8">
      <c r="A102" s="14" t="s">
        <v>187</v>
      </c>
      <c r="B102" s="14">
        <v>1500</v>
      </c>
      <c r="C102" s="14"/>
      <c r="D102" s="14"/>
      <c r="E102" s="14" t="s">
        <v>190</v>
      </c>
      <c r="F102" s="14" t="s">
        <v>169</v>
      </c>
      <c r="G102" s="17">
        <v>4.9000000000000002E-2</v>
      </c>
      <c r="H102" s="14">
        <v>1493</v>
      </c>
    </row>
    <row r="103" spans="1:8" ht="15.05" thickBot="1">
      <c r="A103" s="16" t="s">
        <v>138</v>
      </c>
      <c r="B103" s="16"/>
      <c r="C103" s="16"/>
      <c r="D103" s="16"/>
      <c r="E103" s="16"/>
      <c r="F103" s="16"/>
      <c r="G103" s="16"/>
      <c r="H103" s="16">
        <v>3883</v>
      </c>
    </row>
    <row r="107" spans="1:8">
      <c r="A107" s="13" t="s">
        <v>192</v>
      </c>
      <c r="B107" s="14" t="s">
        <v>193</v>
      </c>
      <c r="D107" s="14"/>
      <c r="E107" s="14"/>
    </row>
    <row r="108" spans="1:8">
      <c r="A108" s="14"/>
      <c r="B108" s="14">
        <v>2023</v>
      </c>
      <c r="C108" s="14">
        <v>2023</v>
      </c>
      <c r="D108" s="14">
        <v>2024</v>
      </c>
      <c r="E108" s="14">
        <v>2025</v>
      </c>
      <c r="F108" s="14">
        <v>2026</v>
      </c>
    </row>
    <row r="109" spans="1:8">
      <c r="A109" s="14" t="s">
        <v>194</v>
      </c>
      <c r="B109" s="14">
        <v>218944</v>
      </c>
      <c r="C109" s="14">
        <v>247299</v>
      </c>
      <c r="D109" s="14">
        <v>264210</v>
      </c>
      <c r="E109" s="14">
        <v>276003</v>
      </c>
      <c r="F109" s="14">
        <v>285482</v>
      </c>
    </row>
    <row r="110" spans="1:8">
      <c r="A110" s="14" t="s">
        <v>195</v>
      </c>
      <c r="B110" s="14">
        <v>125876</v>
      </c>
      <c r="C110" s="14">
        <v>118597</v>
      </c>
      <c r="D110" s="14">
        <v>113985</v>
      </c>
      <c r="E110" s="14">
        <v>113921</v>
      </c>
      <c r="F110" s="14">
        <v>115060</v>
      </c>
    </row>
    <row r="111" spans="1:8">
      <c r="A111" s="14" t="s">
        <v>196</v>
      </c>
      <c r="B111" s="14">
        <v>42839</v>
      </c>
      <c r="C111" s="14">
        <v>46591</v>
      </c>
      <c r="D111" s="14">
        <v>54898</v>
      </c>
      <c r="E111" s="14">
        <v>62092</v>
      </c>
      <c r="F111" s="14">
        <v>69547</v>
      </c>
    </row>
    <row r="112" spans="1:8">
      <c r="A112" s="14" t="s">
        <v>116</v>
      </c>
      <c r="B112" s="14">
        <v>5588</v>
      </c>
      <c r="C112" s="14">
        <v>8066</v>
      </c>
      <c r="D112" s="14">
        <v>8724</v>
      </c>
      <c r="E112" s="14">
        <v>10399</v>
      </c>
      <c r="F112" s="14">
        <v>12886</v>
      </c>
    </row>
    <row r="113" spans="1:6">
      <c r="A113" s="14" t="s">
        <v>138</v>
      </c>
      <c r="B113" s="14">
        <v>393247</v>
      </c>
      <c r="C113" s="14">
        <v>420553</v>
      </c>
      <c r="D113" s="14">
        <v>441817</v>
      </c>
      <c r="E113" s="14">
        <v>462415</v>
      </c>
      <c r="F113" s="14">
        <v>482975</v>
      </c>
    </row>
    <row r="114" spans="1:6">
      <c r="A114" s="14"/>
      <c r="C114" s="14"/>
      <c r="D114" s="14"/>
      <c r="E114" s="14"/>
      <c r="F114" s="14"/>
    </row>
    <row r="115" spans="1:6">
      <c r="A115" s="14"/>
      <c r="C115" s="14"/>
      <c r="D115" s="14"/>
      <c r="E115" s="14"/>
      <c r="F115" s="14"/>
    </row>
    <row r="116" spans="1:6">
      <c r="A116" s="13" t="s">
        <v>197</v>
      </c>
      <c r="C116" s="14"/>
      <c r="D116" s="14"/>
      <c r="E116" s="14"/>
      <c r="F116" s="14"/>
    </row>
    <row r="117" spans="1:6">
      <c r="A117" s="14"/>
      <c r="B117" s="14">
        <v>2022</v>
      </c>
      <c r="C117" s="14">
        <v>2023</v>
      </c>
      <c r="D117" s="14">
        <v>2024</v>
      </c>
      <c r="E117" s="14">
        <v>2025</v>
      </c>
      <c r="F117" s="14">
        <v>2026</v>
      </c>
    </row>
    <row r="118" spans="1:6">
      <c r="A118" s="14" t="s">
        <v>198</v>
      </c>
      <c r="B118" s="14">
        <v>35964</v>
      </c>
      <c r="C118" s="14">
        <v>40496</v>
      </c>
      <c r="D118" s="14">
        <v>49726</v>
      </c>
      <c r="E118" s="14">
        <v>51970</v>
      </c>
      <c r="F118" s="14">
        <v>52492</v>
      </c>
    </row>
    <row r="119" spans="1:6">
      <c r="A119" s="14" t="s">
        <v>199</v>
      </c>
      <c r="B119" s="14">
        <v>21773</v>
      </c>
      <c r="C119" s="14">
        <v>22300</v>
      </c>
      <c r="D119" s="14">
        <v>22639</v>
      </c>
      <c r="E119" s="14">
        <v>23035</v>
      </c>
      <c r="F119" s="14">
        <v>23724</v>
      </c>
    </row>
    <row r="120" spans="1:6">
      <c r="A120" s="14" t="s">
        <v>200</v>
      </c>
      <c r="B120" s="14">
        <v>13852</v>
      </c>
      <c r="C120" s="14">
        <v>14711</v>
      </c>
      <c r="D120" s="14">
        <v>17011</v>
      </c>
      <c r="E120" s="14">
        <v>19975</v>
      </c>
      <c r="F120" s="14">
        <v>24623</v>
      </c>
    </row>
    <row r="121" spans="1:6">
      <c r="A121" s="14" t="s">
        <v>211</v>
      </c>
      <c r="B121" s="14">
        <v>3811</v>
      </c>
      <c r="C121" s="14">
        <v>0</v>
      </c>
      <c r="D121" s="14">
        <v>0</v>
      </c>
      <c r="E121" s="14">
        <v>0</v>
      </c>
      <c r="F121" s="14">
        <v>0</v>
      </c>
    </row>
    <row r="122" spans="1:6">
      <c r="A122" s="14" t="s">
        <v>116</v>
      </c>
      <c r="B122" s="14">
        <v>25559</v>
      </c>
      <c r="C122" s="14">
        <v>23476</v>
      </c>
      <c r="D122" s="14">
        <v>25265</v>
      </c>
      <c r="E122" s="14">
        <v>26905</v>
      </c>
      <c r="F122" s="14">
        <v>29584</v>
      </c>
    </row>
    <row r="123" spans="1:6">
      <c r="A123" s="14" t="s">
        <v>138</v>
      </c>
      <c r="B123" s="14">
        <v>100959</v>
      </c>
      <c r="C123" s="14">
        <v>100983</v>
      </c>
      <c r="D123" s="14">
        <v>114641</v>
      </c>
      <c r="E123" s="14">
        <v>121885</v>
      </c>
      <c r="F123" s="14">
        <v>130423</v>
      </c>
    </row>
    <row r="124" spans="1:6">
      <c r="A124" s="14" t="s">
        <v>212</v>
      </c>
      <c r="C124" s="14"/>
      <c r="D124" s="14"/>
      <c r="E124" s="14"/>
      <c r="F124" s="14"/>
    </row>
    <row r="125" spans="1:6">
      <c r="A125" s="14"/>
      <c r="C125" s="14"/>
      <c r="D125" s="14"/>
      <c r="E125" s="14"/>
      <c r="F125" s="14"/>
    </row>
    <row r="126" spans="1:6">
      <c r="A126" s="13" t="s">
        <v>201</v>
      </c>
      <c r="B126" s="14" t="s">
        <v>193</v>
      </c>
      <c r="D126" s="14"/>
      <c r="E126" s="14"/>
      <c r="F126" s="14"/>
    </row>
    <row r="127" spans="1:6">
      <c r="A127" s="14"/>
      <c r="B127" s="14">
        <v>2022</v>
      </c>
      <c r="C127" s="14">
        <v>2023</v>
      </c>
      <c r="D127" s="14">
        <v>2024</v>
      </c>
      <c r="E127" s="14">
        <v>2025</v>
      </c>
      <c r="F127" s="14">
        <v>2026</v>
      </c>
    </row>
    <row r="128" spans="1:6">
      <c r="A128" s="14" t="s">
        <v>194</v>
      </c>
      <c r="B128" s="14">
        <v>46822</v>
      </c>
      <c r="C128" s="14">
        <v>53055</v>
      </c>
      <c r="D128" s="14">
        <v>56455</v>
      </c>
      <c r="E128" s="14">
        <v>59976</v>
      </c>
      <c r="F128" s="14">
        <v>64706</v>
      </c>
    </row>
    <row r="129" spans="1:6">
      <c r="A129" s="14" t="s">
        <v>202</v>
      </c>
      <c r="B129" s="14">
        <f>10751+990</f>
        <v>11741</v>
      </c>
      <c r="C129" s="14">
        <v>15385</v>
      </c>
      <c r="D129" s="14">
        <v>13678</v>
      </c>
      <c r="E129" s="14">
        <v>12924</v>
      </c>
      <c r="F129" s="14">
        <v>11570</v>
      </c>
    </row>
    <row r="130" spans="1:6">
      <c r="A130" s="14" t="s">
        <v>195</v>
      </c>
      <c r="B130" s="14">
        <f>9037+2000</f>
        <v>11037</v>
      </c>
      <c r="C130" s="14">
        <v>11669</v>
      </c>
      <c r="D130" s="14">
        <v>11041</v>
      </c>
      <c r="E130" s="14">
        <v>11249</v>
      </c>
      <c r="F130" s="14">
        <v>11549</v>
      </c>
    </row>
    <row r="131" spans="1:6">
      <c r="A131" s="14" t="s">
        <v>196</v>
      </c>
      <c r="B131" s="14">
        <v>3956</v>
      </c>
      <c r="C131" s="14">
        <v>4236</v>
      </c>
      <c r="D131" s="14">
        <v>5005</v>
      </c>
      <c r="E131" s="14">
        <v>6089</v>
      </c>
      <c r="F131" s="14">
        <v>5190</v>
      </c>
    </row>
    <row r="132" spans="1:6">
      <c r="A132" s="14" t="s">
        <v>138</v>
      </c>
      <c r="B132" s="14">
        <v>73556</v>
      </c>
      <c r="C132" s="14">
        <v>84345</v>
      </c>
      <c r="D132" s="14">
        <v>86179</v>
      </c>
      <c r="E132" s="14">
        <v>90238</v>
      </c>
      <c r="F132" s="14">
        <v>93015</v>
      </c>
    </row>
    <row r="135" spans="1:6">
      <c r="A135" s="13" t="s">
        <v>447</v>
      </c>
    </row>
    <row r="136" spans="1:6">
      <c r="A136" t="s">
        <v>448</v>
      </c>
    </row>
    <row r="137" spans="1:6">
      <c r="A137" t="s">
        <v>449</v>
      </c>
    </row>
    <row r="140" spans="1:6">
      <c r="B140">
        <v>2022</v>
      </c>
      <c r="C140">
        <v>2023</v>
      </c>
      <c r="D140">
        <v>2024</v>
      </c>
      <c r="E140">
        <v>2025</v>
      </c>
      <c r="F140">
        <v>2026</v>
      </c>
    </row>
    <row r="141" spans="1:6">
      <c r="A141" t="s">
        <v>461</v>
      </c>
      <c r="B141" s="14">
        <v>2274</v>
      </c>
      <c r="C141" s="14">
        <v>2306</v>
      </c>
      <c r="D141" s="14">
        <v>2277</v>
      </c>
      <c r="E141" s="14">
        <v>2347</v>
      </c>
      <c r="F141" s="14">
        <v>2434</v>
      </c>
    </row>
    <row r="142" spans="1:6">
      <c r="A142" t="s">
        <v>450</v>
      </c>
      <c r="B142" s="14"/>
      <c r="C142" s="14"/>
      <c r="D142" s="14"/>
      <c r="E142" s="14"/>
      <c r="F142" s="14"/>
    </row>
    <row r="143" spans="1:6">
      <c r="A143" s="7" t="s">
        <v>451</v>
      </c>
      <c r="B143" s="14">
        <v>565</v>
      </c>
      <c r="C143" s="14">
        <v>596</v>
      </c>
      <c r="D143" s="14">
        <v>755</v>
      </c>
      <c r="E143" s="14">
        <v>891</v>
      </c>
      <c r="F143" s="14">
        <v>888</v>
      </c>
    </row>
    <row r="144" spans="1:6">
      <c r="A144" s="7" t="s">
        <v>452</v>
      </c>
      <c r="B144" s="14">
        <v>232</v>
      </c>
      <c r="C144" s="14">
        <v>256</v>
      </c>
      <c r="D144" s="14">
        <v>326</v>
      </c>
      <c r="E144" s="14">
        <v>381</v>
      </c>
      <c r="F144" s="14">
        <v>383</v>
      </c>
    </row>
    <row r="145" spans="1:6">
      <c r="A145" t="s">
        <v>453</v>
      </c>
      <c r="B145" s="14">
        <v>823</v>
      </c>
      <c r="C145" s="14">
        <v>899</v>
      </c>
      <c r="D145" s="14">
        <v>1082</v>
      </c>
      <c r="E145" s="14">
        <v>1145</v>
      </c>
      <c r="F145" s="14">
        <v>1180</v>
      </c>
    </row>
    <row r="146" spans="1:6">
      <c r="B146" s="14"/>
      <c r="C146" s="14"/>
      <c r="D146" s="14"/>
      <c r="E146" s="14"/>
      <c r="F146" s="14"/>
    </row>
    <row r="147" spans="1:6">
      <c r="B147" s="14"/>
      <c r="C147" s="14"/>
      <c r="D147" s="14"/>
      <c r="E147" s="14"/>
      <c r="F147" s="14"/>
    </row>
    <row r="148" spans="1:6">
      <c r="A148" t="s">
        <v>460</v>
      </c>
      <c r="B148" s="14">
        <v>2022</v>
      </c>
      <c r="C148" s="14">
        <v>2023</v>
      </c>
      <c r="D148" s="14">
        <v>2024</v>
      </c>
      <c r="E148" s="14">
        <v>2025</v>
      </c>
      <c r="F148" s="14">
        <v>2026</v>
      </c>
    </row>
    <row r="149" spans="1:6">
      <c r="A149" t="s">
        <v>454</v>
      </c>
      <c r="B149" s="14"/>
      <c r="C149" s="14"/>
      <c r="D149" s="14"/>
      <c r="E149" s="14"/>
      <c r="F149" s="14"/>
    </row>
    <row r="150" spans="1:6">
      <c r="A150" s="7" t="s">
        <v>455</v>
      </c>
      <c r="B150" s="14">
        <v>2234</v>
      </c>
      <c r="C150" s="14">
        <v>2280</v>
      </c>
      <c r="D150" s="14">
        <v>2273</v>
      </c>
      <c r="E150" s="14">
        <v>2390</v>
      </c>
      <c r="F150" s="14">
        <v>2315</v>
      </c>
    </row>
    <row r="151" spans="1:6">
      <c r="A151" s="7" t="s">
        <v>456</v>
      </c>
      <c r="B151" s="14">
        <v>225</v>
      </c>
      <c r="C151" s="14">
        <v>248</v>
      </c>
      <c r="D151" s="14">
        <v>315</v>
      </c>
      <c r="E151" s="14">
        <v>375</v>
      </c>
      <c r="F151" s="14">
        <v>377</v>
      </c>
    </row>
    <row r="152" spans="1:6">
      <c r="A152" s="7" t="s">
        <v>457</v>
      </c>
      <c r="B152" s="14">
        <v>538</v>
      </c>
      <c r="C152" s="14">
        <v>563</v>
      </c>
      <c r="D152" s="14">
        <v>1055</v>
      </c>
      <c r="E152" s="14">
        <v>908</v>
      </c>
      <c r="F152" s="14">
        <v>891</v>
      </c>
    </row>
    <row r="153" spans="1:6">
      <c r="A153" s="187" t="s">
        <v>459</v>
      </c>
      <c r="B153" s="14">
        <v>1816</v>
      </c>
      <c r="C153" s="14">
        <v>1714</v>
      </c>
      <c r="D153" s="14">
        <v>1514</v>
      </c>
      <c r="E153" s="14">
        <v>1974</v>
      </c>
      <c r="F153" s="14">
        <v>2303</v>
      </c>
    </row>
    <row r="154" spans="1:6">
      <c r="A154" s="187" t="s">
        <v>458</v>
      </c>
      <c r="B154" s="14">
        <v>1044</v>
      </c>
      <c r="C154" s="14">
        <v>1226</v>
      </c>
      <c r="D154" s="14">
        <v>1572</v>
      </c>
      <c r="E154" s="14">
        <v>1455</v>
      </c>
      <c r="F154" s="14">
        <v>703</v>
      </c>
    </row>
    <row r="155" spans="1:6">
      <c r="A155" s="187"/>
      <c r="B155" s="14"/>
      <c r="C155" s="178">
        <f>C153/B153-1</f>
        <v>-5.6167400881057317E-2</v>
      </c>
      <c r="D155" s="178">
        <f t="shared" ref="D155:F155" si="0">D153/C153-1</f>
        <v>-0.11668611435239207</v>
      </c>
      <c r="E155" s="178">
        <f t="shared" si="0"/>
        <v>0.30383091149273445</v>
      </c>
      <c r="F155" s="178">
        <f t="shared" si="0"/>
        <v>0.16666666666666674</v>
      </c>
    </row>
    <row r="157" spans="1:6">
      <c r="B157">
        <v>2022</v>
      </c>
      <c r="C157">
        <v>2023</v>
      </c>
      <c r="D157">
        <v>2024</v>
      </c>
      <c r="E157">
        <v>2025</v>
      </c>
      <c r="F157">
        <v>2026</v>
      </c>
    </row>
    <row r="158" spans="1:6">
      <c r="A158" t="s">
        <v>462</v>
      </c>
      <c r="B158" s="249"/>
      <c r="C158" s="249">
        <v>11.7</v>
      </c>
      <c r="D158" s="249">
        <v>12</v>
      </c>
      <c r="E158" s="249">
        <v>11.3</v>
      </c>
      <c r="F158" s="249">
        <v>11.3</v>
      </c>
    </row>
    <row r="159" spans="1:6">
      <c r="A159" t="s">
        <v>463</v>
      </c>
      <c r="B159" s="249"/>
      <c r="C159" s="249">
        <v>12.4</v>
      </c>
      <c r="D159" s="249">
        <v>13.3</v>
      </c>
      <c r="E159" s="249">
        <v>11.5</v>
      </c>
      <c r="F159" s="249">
        <v>11.5</v>
      </c>
    </row>
    <row r="160" spans="1:6">
      <c r="A160" t="s">
        <v>464</v>
      </c>
      <c r="B160" s="178"/>
      <c r="C160" s="178">
        <v>6.4000000000000001E-2</v>
      </c>
      <c r="D160" s="178">
        <v>0.06</v>
      </c>
      <c r="E160" s="178">
        <v>6.5000000000000002E-2</v>
      </c>
      <c r="F160" s="178">
        <v>6.7000000000000004E-2</v>
      </c>
    </row>
    <row r="161" spans="1:6">
      <c r="A161" t="s">
        <v>465</v>
      </c>
      <c r="B161" s="178"/>
      <c r="C161" s="178">
        <v>6.8000000000000005E-2</v>
      </c>
      <c r="D161" s="178">
        <v>6.5000000000000002E-2</v>
      </c>
      <c r="E161" s="178">
        <v>6.7000000000000004E-2</v>
      </c>
      <c r="F161" s="178">
        <v>7.0000000000000007E-2</v>
      </c>
    </row>
    <row r="164" spans="1:6">
      <c r="A164" t="s">
        <v>470</v>
      </c>
    </row>
    <row r="166" spans="1:6">
      <c r="A166" t="s">
        <v>466</v>
      </c>
      <c r="B166" t="s">
        <v>269</v>
      </c>
      <c r="C166" t="s">
        <v>268</v>
      </c>
    </row>
    <row r="167" spans="1:6">
      <c r="A167">
        <v>2027</v>
      </c>
      <c r="B167" s="14">
        <v>2453</v>
      </c>
      <c r="C167" s="14">
        <v>11228</v>
      </c>
    </row>
    <row r="168" spans="1:6">
      <c r="A168">
        <v>2028</v>
      </c>
      <c r="B168" s="14">
        <v>2361</v>
      </c>
      <c r="C168" s="14">
        <v>1132</v>
      </c>
    </row>
    <row r="169" spans="1:6">
      <c r="A169">
        <v>2029</v>
      </c>
      <c r="B169" s="14">
        <v>2214</v>
      </c>
      <c r="C169" s="14">
        <v>955</v>
      </c>
    </row>
    <row r="170" spans="1:6">
      <c r="A170">
        <v>2030</v>
      </c>
      <c r="B170" s="14">
        <v>2008</v>
      </c>
      <c r="C170" s="14">
        <v>805</v>
      </c>
    </row>
    <row r="171" spans="1:6">
      <c r="A171">
        <v>2031</v>
      </c>
      <c r="B171" s="14">
        <v>1796</v>
      </c>
      <c r="C171" s="14">
        <v>692</v>
      </c>
    </row>
    <row r="172" spans="1:6">
      <c r="A172" t="s">
        <v>157</v>
      </c>
      <c r="B172" s="14">
        <v>11792</v>
      </c>
      <c r="C172" s="14">
        <v>6003</v>
      </c>
    </row>
    <row r="173" spans="1:6">
      <c r="A173" s="222" t="s">
        <v>467</v>
      </c>
      <c r="B173" s="18">
        <v>22624</v>
      </c>
      <c r="C173" s="18">
        <v>10815</v>
      </c>
    </row>
    <row r="174" spans="1:6">
      <c r="A174" t="s">
        <v>468</v>
      </c>
      <c r="B174" s="14">
        <v>-7052</v>
      </c>
      <c r="C174" s="14">
        <v>-4054</v>
      </c>
    </row>
    <row r="175" spans="1:6">
      <c r="A175" s="222" t="s">
        <v>469</v>
      </c>
      <c r="B175" s="18">
        <v>15572</v>
      </c>
      <c r="C175" s="18">
        <v>6761</v>
      </c>
    </row>
    <row r="177" spans="1:14">
      <c r="A177" t="s">
        <v>471</v>
      </c>
      <c r="B177">
        <v>2160</v>
      </c>
      <c r="C177">
        <v>1153</v>
      </c>
    </row>
    <row r="178" spans="1:14">
      <c r="A178" t="s">
        <v>472</v>
      </c>
      <c r="B178">
        <v>2181</v>
      </c>
      <c r="C178">
        <v>1071</v>
      </c>
    </row>
    <row r="181" spans="1:14">
      <c r="A181" s="5" t="s">
        <v>447</v>
      </c>
    </row>
    <row r="182" spans="1:14">
      <c r="E182" s="3">
        <f>Model!F79</f>
        <v>44592</v>
      </c>
      <c r="F182" s="3">
        <f>Model!G79</f>
        <v>44957</v>
      </c>
      <c r="G182" s="3">
        <f>Model!H79</f>
        <v>45322</v>
      </c>
      <c r="H182" s="3">
        <f>Model!I79</f>
        <v>45688</v>
      </c>
      <c r="I182" s="3">
        <f>Model!J79</f>
        <v>46053</v>
      </c>
      <c r="J182" s="2"/>
      <c r="K182" s="2"/>
      <c r="L182" s="2"/>
      <c r="M182" s="2"/>
      <c r="N182" s="2"/>
    </row>
    <row r="183" spans="1:14">
      <c r="A183" s="7" t="s">
        <v>32</v>
      </c>
      <c r="E183" s="14">
        <v>13758</v>
      </c>
      <c r="F183" s="14">
        <v>13555</v>
      </c>
      <c r="G183" s="14">
        <v>13673</v>
      </c>
      <c r="H183" s="14">
        <v>13599</v>
      </c>
      <c r="I183" s="14">
        <v>14750</v>
      </c>
      <c r="J183" s="14"/>
      <c r="K183" s="14"/>
      <c r="L183" s="14"/>
      <c r="M183" s="14"/>
      <c r="N183" s="14"/>
    </row>
    <row r="184" spans="1:14">
      <c r="A184" s="7" t="s">
        <v>31</v>
      </c>
      <c r="E184" s="14">
        <v>4351</v>
      </c>
      <c r="F184" s="14">
        <v>4919</v>
      </c>
      <c r="G184" s="14">
        <v>5855</v>
      </c>
      <c r="H184" s="14">
        <v>6112</v>
      </c>
      <c r="I184" s="14">
        <v>6123</v>
      </c>
      <c r="J184" s="14"/>
      <c r="K184" s="14"/>
      <c r="L184" s="14"/>
      <c r="M184" s="14"/>
      <c r="N184" s="14"/>
    </row>
    <row r="185" spans="1:14">
      <c r="A185" s="7" t="s">
        <v>21</v>
      </c>
      <c r="E185" s="14">
        <v>1483</v>
      </c>
      <c r="F185" s="14">
        <v>1473</v>
      </c>
      <c r="G185" s="14">
        <v>1487</v>
      </c>
      <c r="H185" s="14">
        <v>1499</v>
      </c>
      <c r="I185" s="14">
        <v>1631</v>
      </c>
    </row>
    <row r="186" spans="1:14">
      <c r="A186" s="7" t="s">
        <v>18</v>
      </c>
      <c r="E186" s="14">
        <v>13009</v>
      </c>
      <c r="F186" s="14">
        <v>12828</v>
      </c>
      <c r="G186" s="14">
        <v>12943</v>
      </c>
      <c r="H186" s="14">
        <v>12825</v>
      </c>
      <c r="I186" s="14">
        <v>13941</v>
      </c>
    </row>
    <row r="187" spans="1:14">
      <c r="A187" s="199" t="s">
        <v>506</v>
      </c>
      <c r="E187" s="14">
        <f>SUM(E185:E186)</f>
        <v>14492</v>
      </c>
      <c r="F187" s="14">
        <f t="shared" ref="F187:I187" si="1">SUM(F185:F186)</f>
        <v>14301</v>
      </c>
      <c r="G187" s="14">
        <f t="shared" si="1"/>
        <v>14430</v>
      </c>
      <c r="H187" s="14">
        <f t="shared" si="1"/>
        <v>14324</v>
      </c>
      <c r="I187" s="14">
        <f t="shared" si="1"/>
        <v>15572</v>
      </c>
    </row>
    <row r="188" spans="1:14">
      <c r="E188" s="14"/>
      <c r="F188" s="14"/>
      <c r="G188" s="14"/>
      <c r="H188" s="14"/>
      <c r="I188" s="14"/>
    </row>
    <row r="189" spans="1:14">
      <c r="A189" s="7" t="s">
        <v>20</v>
      </c>
      <c r="E189" s="14">
        <v>511</v>
      </c>
      <c r="F189" s="14">
        <v>567</v>
      </c>
      <c r="G189" s="14">
        <v>725</v>
      </c>
      <c r="H189" s="14">
        <v>800</v>
      </c>
      <c r="I189" s="14">
        <v>856</v>
      </c>
    </row>
    <row r="190" spans="1:14">
      <c r="A190" s="7" t="s">
        <v>17</v>
      </c>
      <c r="E190" s="14">
        <v>4243</v>
      </c>
      <c r="F190" s="14">
        <v>4843</v>
      </c>
      <c r="G190" s="14">
        <v>5709</v>
      </c>
      <c r="H190" s="14">
        <v>5923</v>
      </c>
      <c r="I190" s="14">
        <v>5905</v>
      </c>
    </row>
    <row r="191" spans="1:14">
      <c r="A191" s="199" t="s">
        <v>507</v>
      </c>
      <c r="E191" s="14">
        <f>SUM(E189:E190)</f>
        <v>4754</v>
      </c>
      <c r="F191" s="14">
        <f t="shared" ref="F191:I191" si="2">SUM(F189:F190)</f>
        <v>5410</v>
      </c>
      <c r="G191" s="14">
        <f t="shared" si="2"/>
        <v>6434</v>
      </c>
      <c r="H191" s="14">
        <f t="shared" si="2"/>
        <v>6723</v>
      </c>
      <c r="I191" s="14">
        <f t="shared" si="2"/>
        <v>6761</v>
      </c>
    </row>
    <row r="192" spans="1:14">
      <c r="E192" s="14"/>
      <c r="F192" s="14"/>
      <c r="G192" s="14"/>
      <c r="H192" s="14"/>
      <c r="I192" s="14"/>
    </row>
    <row r="193" spans="1:9">
      <c r="A193" s="5" t="s">
        <v>512</v>
      </c>
      <c r="E193" s="14"/>
      <c r="F193" s="14"/>
      <c r="G193" s="14"/>
      <c r="H193" s="14"/>
      <c r="I193" s="14"/>
    </row>
    <row r="194" spans="1:9">
      <c r="A194" s="7" t="s">
        <v>22</v>
      </c>
      <c r="E194" s="14">
        <v>2803</v>
      </c>
      <c r="F194" s="14">
        <v>4191</v>
      </c>
      <c r="G194" s="14">
        <v>3447</v>
      </c>
      <c r="H194" s="14">
        <v>2598</v>
      </c>
      <c r="I194" s="14">
        <v>3542</v>
      </c>
    </row>
    <row r="195" spans="1:9">
      <c r="A195" s="7" t="s">
        <v>19</v>
      </c>
      <c r="E195" s="14">
        <v>34864</v>
      </c>
      <c r="F195" s="14">
        <v>34649</v>
      </c>
      <c r="G195" s="14">
        <v>36132</v>
      </c>
      <c r="H195" s="14">
        <v>33401</v>
      </c>
      <c r="I195" s="14">
        <v>34624</v>
      </c>
    </row>
    <row r="196" spans="1:9">
      <c r="A196" s="5" t="s">
        <v>513</v>
      </c>
      <c r="E196" s="14">
        <f>SUM(E194:E195)</f>
        <v>37667</v>
      </c>
      <c r="F196" s="14">
        <f t="shared" ref="F196:I196" si="3">SUM(F194:F195)</f>
        <v>38840</v>
      </c>
      <c r="G196" s="14">
        <f t="shared" si="3"/>
        <v>39579</v>
      </c>
      <c r="H196" s="14">
        <f t="shared" si="3"/>
        <v>35999</v>
      </c>
      <c r="I196" s="14">
        <f t="shared" si="3"/>
        <v>38166</v>
      </c>
    </row>
  </sheetData>
  <mergeCells count="5">
    <mergeCell ref="I50:J50"/>
    <mergeCell ref="D43:F43"/>
    <mergeCell ref="G43:I43"/>
    <mergeCell ref="E50:F50"/>
    <mergeCell ref="G50:H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Drivers, Inputs and Outputs</vt:lpstr>
      <vt:lpstr>Model</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2026-05-21T10:47:54Z</dcterms:created>
  <dcterms:modified xsi:type="dcterms:W3CDTF">2026-06-30T19:34:52Z</dcterms:modified>
</cp:coreProperties>
</file>